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xmlns:r="http://schemas.openxmlformats.org/officeDocument/2006/relationships" name="Table" sheetId="1" state="visible" r:id="rId1"/>
    <sheet xmlns:r="http://schemas.openxmlformats.org/officeDocument/2006/relationships" name="Mortgage" sheetId="2" state="visible" r:id="rId2"/>
    <sheet xmlns:r="http://schemas.openxmlformats.org/officeDocument/2006/relationships" name="Immobilisation" sheetId="3" state="visible" r:id="rId3"/>
    <sheet xmlns:r="http://schemas.openxmlformats.org/officeDocument/2006/relationships" name="Informations" sheetId="4" state="visible" r:id="rId4"/>
    <sheet xmlns:r="http://schemas.openxmlformats.org/officeDocument/2006/relationships" name="Guide" sheetId="5" state="visible" r:id="rId5"/>
    <sheet xmlns:r="http://schemas.openxmlformats.org/officeDocument/2006/relationships" name="2021-2022" sheetId="6" state="visible" r:id="rId6"/>
    <sheet xmlns:r="http://schemas.openxmlformats.org/officeDocument/2006/relationships" name="2023" sheetId="7" state="visible" r:id="rId7"/>
    <sheet xmlns:r="http://schemas.openxmlformats.org/officeDocument/2006/relationships" name="2024" sheetId="8" state="visible" r:id="rId8"/>
    <sheet xmlns:r="http://schemas.openxmlformats.org/officeDocument/2006/relationships" name="2025" sheetId="9" state="visible" r:id="rId9"/>
  </sheets>
  <definedNames/>
  <calcPr calcId="191029" fullCalcOnLoad="1"/>
</workbook>
</file>

<file path=xl/styles.xml><?xml version="1.0" encoding="utf-8"?>
<styleSheet xmlns="http://schemas.openxmlformats.org/spreadsheetml/2006/main">
  <numFmts count="2">
    <numFmt numFmtId="164" formatCode="mm/yyyy"/>
    <numFmt numFmtId="165" formatCode="yyyy-mm-dd h:mm:ss"/>
  </numFmts>
  <fonts count="14">
    <font>
      <name val="Aptos Narrow"/>
      <color theme="1"/>
      <sz val="11"/>
      <scheme val="minor"/>
    </font>
    <font>
      <name val="Aptos Narrow"/>
      <color theme="1"/>
      <sz val="11"/>
      <scheme val="minor"/>
    </font>
    <font>
      <name val="Aptos Narrow"/>
      <color theme="1"/>
      <sz val="11"/>
    </font>
    <font>
      <name val="Arial"/>
      <color theme="1"/>
      <sz val="11"/>
    </font>
    <font>
      <name val="Arial"/>
      <color theme="1"/>
      <sz val="11"/>
    </font>
    <font>
      <name val="Arial"/>
      <color rgb="FF0000FF"/>
      <sz val="11"/>
      <u val="single"/>
    </font>
    <font>
      <name val="Aptos Narrow"/>
      <color rgb="FF0000FF"/>
      <sz val="11"/>
      <u val="single"/>
    </font>
    <font>
      <name val="Arial"/>
      <color rgb="FF467886"/>
      <sz val="11"/>
      <u val="single"/>
    </font>
    <font>
      <name val="Arial"/>
      <color rgb="FF467886"/>
      <sz val="11"/>
      <u val="single"/>
    </font>
    <font>
      <name val="Aptos Narrow"/>
      <color theme="10"/>
      <sz val="11"/>
      <u val="single"/>
    </font>
    <font>
      <name val="Aptos Narrow"/>
      <color theme="10"/>
      <sz val="11"/>
    </font>
    <font>
      <name val="Aptos Narrow"/>
      <color theme="10"/>
      <sz val="11"/>
      <u val="single"/>
    </font>
    <font>
      <name val="Arial"/>
      <b val="1"/>
      <color theme="1"/>
      <sz val="11"/>
    </font>
    <font>
      <name val="Arial"/>
      <family val="2"/>
      <color theme="1"/>
      <sz val="11"/>
    </font>
  </fonts>
  <fills count="6">
    <fill>
      <patternFill/>
    </fill>
    <fill>
      <patternFill patternType="gray125"/>
    </fill>
    <fill>
      <patternFill patternType="solid">
        <fgColor rgb="FFCAEDFB"/>
        <bgColor rgb="FFCAEDFB"/>
      </patternFill>
    </fill>
    <fill>
      <patternFill patternType="solid">
        <fgColor rgb="FFD9F2D0"/>
        <bgColor rgb="FFD9F2D0"/>
      </patternFill>
    </fill>
    <fill>
      <patternFill patternType="solid">
        <fgColor rgb="FF83CAEB"/>
        <bgColor rgb="FF83CAEB"/>
      </patternFill>
    </fill>
    <fill>
      <patternFill patternType="solid">
        <fgColor rgb="FFB3E5A1"/>
        <bgColor rgb="FFB3E5A1"/>
      </patternFill>
    </fill>
  </fills>
  <borders count="2">
    <border>
      <left/>
      <right/>
      <top/>
      <bottom/>
      <diagonal/>
    </border>
    <border>
      <left/>
      <right/>
      <top/>
      <bottom/>
      <diagonal/>
    </border>
  </borders>
  <cellStyleXfs count="1">
    <xf numFmtId="0" fontId="1" fillId="0" borderId="1"/>
  </cellStyleXfs>
  <cellXfs count="48">
    <xf numFmtId="0" fontId="0" fillId="0" borderId="0" pivotButton="0" quotePrefix="0" xfId="0"/>
    <xf numFmtId="0" fontId="1" fillId="0" borderId="0" pivotButton="0" quotePrefix="0" xfId="0"/>
    <xf numFmtId="14" fontId="2" fillId="0" borderId="0" pivotButton="0" quotePrefix="0" xfId="0"/>
    <xf numFmtId="49" fontId="1" fillId="0" borderId="0" pivotButton="0" quotePrefix="0" xfId="0"/>
    <xf numFmtId="49" fontId="3" fillId="0" borderId="0" pivotButton="0" quotePrefix="0" xfId="0"/>
    <xf numFmtId="0" fontId="3" fillId="0" borderId="0" pivotButton="0" quotePrefix="0" xfId="0"/>
    <xf numFmtId="0" fontId="4" fillId="0" borderId="0" pivotButton="0" quotePrefix="0" xfId="0"/>
    <xf numFmtId="0" fontId="2" fillId="0" borderId="0" pivotButton="0" quotePrefix="0" xfId="0"/>
    <xf numFmtId="0" fontId="2" fillId="0" borderId="0" applyAlignment="1" pivotButton="0" quotePrefix="0" xfId="0">
      <alignment wrapText="1"/>
    </xf>
    <xf numFmtId="0" fontId="4" fillId="0" borderId="0" applyAlignment="1" pivotButton="0" quotePrefix="0" xfId="0">
      <alignment wrapText="1"/>
    </xf>
    <xf numFmtId="14" fontId="2" fillId="2" borderId="1" pivotButton="0" quotePrefix="0" xfId="0"/>
    <xf numFmtId="0" fontId="2" fillId="2" borderId="1" pivotButton="0" quotePrefix="0" xfId="0"/>
    <xf numFmtId="9" fontId="2" fillId="2" borderId="1" pivotButton="0" quotePrefix="0" xfId="0"/>
    <xf numFmtId="13" fontId="2" fillId="2" borderId="1" pivotButton="0" quotePrefix="0" xfId="0"/>
    <xf numFmtId="14" fontId="2" fillId="3" borderId="1" pivotButton="0" quotePrefix="0" xfId="0"/>
    <xf numFmtId="0" fontId="2" fillId="3" borderId="1" pivotButton="0" quotePrefix="0" xfId="0"/>
    <xf numFmtId="9" fontId="2" fillId="3" borderId="1" pivotButton="0" quotePrefix="0" xfId="0"/>
    <xf numFmtId="13" fontId="2" fillId="3" borderId="1" pivotButton="0" quotePrefix="0" xfId="0"/>
    <xf numFmtId="14" fontId="2" fillId="4" borderId="1" pivotButton="0" quotePrefix="0" xfId="0"/>
    <xf numFmtId="0" fontId="2" fillId="4" borderId="1" pivotButton="0" quotePrefix="0" xfId="0"/>
    <xf numFmtId="9" fontId="2" fillId="4" borderId="1" pivotButton="0" quotePrefix="0" xfId="0"/>
    <xf numFmtId="13" fontId="2" fillId="4" borderId="1" pivotButton="0" quotePrefix="0" xfId="0"/>
    <xf numFmtId="14" fontId="2" fillId="5" borderId="1" pivotButton="0" quotePrefix="0" xfId="0"/>
    <xf numFmtId="0" fontId="2" fillId="5" borderId="1" pivotButton="0" quotePrefix="0" xfId="0"/>
    <xf numFmtId="9" fontId="2" fillId="5" borderId="1" pivotButton="0" quotePrefix="0" xfId="0"/>
    <xf numFmtId="13" fontId="2" fillId="5" borderId="1" pivotButton="0" quotePrefix="0" xfId="0"/>
    <xf numFmtId="14" fontId="4" fillId="5" borderId="1" pivotButton="0" quotePrefix="0" xfId="0"/>
    <xf numFmtId="14" fontId="3" fillId="4" borderId="0" pivotButton="0" quotePrefix="0" xfId="0"/>
    <xf numFmtId="0" fontId="4" fillId="4" borderId="1"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164" fontId="3" fillId="0" borderId="0" pivotButton="0" quotePrefix="0" xfId="0"/>
    <xf numFmtId="9" fontId="4" fillId="0" borderId="0" pivotButton="0" quotePrefix="0" xfId="0"/>
    <xf numFmtId="9" fontId="2" fillId="0" borderId="0" pivotButton="0" quotePrefix="0" xfId="0"/>
    <xf numFmtId="9" fontId="3" fillId="0" borderId="0" pivotButton="0" quotePrefix="0" xfId="0"/>
    <xf numFmtId="0" fontId="9" fillId="0" borderId="0" pivotButton="0" quotePrefix="0" xfId="0"/>
    <xf numFmtId="1" fontId="4"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14" fontId="13" fillId="0" borderId="0" pivotButton="0" quotePrefix="0" xfId="0"/>
    <xf numFmtId="49" fontId="13" fillId="0" borderId="0" pivotButton="0" quotePrefix="0" xfId="0"/>
    <xf numFmtId="14" fontId="13" fillId="0" borderId="0" applyAlignment="1" pivotButton="0" quotePrefix="0" xfId="0">
      <alignment horizontal="right"/>
    </xf>
    <xf numFmtId="0" fontId="13" fillId="0" borderId="0" applyAlignment="1" pivotButton="0" quotePrefix="0" xfId="0">
      <alignment horizontal="right"/>
    </xf>
    <xf numFmtId="165"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5</col>
      <colOff>0</colOff>
      <row>20</row>
      <rowOff>0</rowOff>
    </from>
    <ext cx="3886200" cy="3971925"/>
    <pic>
      <nvPicPr>
        <cNvPr id="2" name="image2.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13</col>
      <colOff>161925</colOff>
      <row>2</row>
      <rowOff>133350</rowOff>
    </from>
    <ext cx="4876800" cy="4714875"/>
    <pic>
      <nvPicPr>
        <cNvPr id="3" name="image1.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lmnp.ai/ressources/la-valeur-terrain-lmnp" TargetMode="External" Id="rId1"/><Relationship Type="http://schemas.openxmlformats.org/officeDocument/2006/relationships/hyperlink" Target="https://explore.data.gouv.fr/fr/immobilier?onglet=carte&amp;filtre=tous&amp;code=93051000AW1061&amp;level=parcelle&amp;lat=48.84310&amp;lng=2.53730&amp;zoom=17.98" TargetMode="External" Id="rId2"/><Relationship Type="http://schemas.openxmlformats.org/officeDocument/2006/relationships/hyperlink" Target="https://lmnp.ai/ressources/comment-amortir-le-composant-gros-oeuvre-lmnp-et-lmp" TargetMode="External" Id="rId3"/><Relationship Type="http://schemas.openxmlformats.org/officeDocument/2006/relationships/hyperlink" Target="https://www.amarris-immo.fr/blog/optimiser-sa-fiscalite/comprendre-les-amortissements-en-location-meublee/" TargetMode="External" Id="rId4"/><Relationship Type="http://schemas.openxmlformats.org/officeDocument/2006/relationships/hyperlink" Target="https://lmnp.blog/lmnp-amortissement-decomposition-part-terrain-composants-duree/" TargetMode="External" Id="rId5"/><Relationship Type="http://schemas.openxmlformats.org/officeDocument/2006/relationships/hyperlink" Target="https://bofip.impots.gouv.fr/bofip/2060-PGP.html/identifiant%3DBOI-BIC-AMT-10-40-10-20131216" TargetMode="External" Id="rId6"/><Relationship Type="http://schemas.openxmlformats.org/officeDocument/2006/relationships/drawing" Target="/xl/drawings/drawing1.xml" Id="rId7"/></Relationships>
</file>

<file path=xl/worksheets/_rels/sheet4.xml.rels><Relationships xmlns="http://schemas.openxmlformats.org/package/2006/relationships"><Relationship Type="http://schemas.openxmlformats.org/officeDocument/2006/relationships/hyperlink" Target="https://procedures.inpi.fr/" TargetMode="External" Id="rId1"/><Relationship Type="http://schemas.openxmlformats.org/officeDocument/2006/relationships/hyperlink" Target="https://www.teledec.fr/declaration/2659206" TargetMode="External" Id="rId2"/><Relationship Type="http://schemas.openxmlformats.org/officeDocument/2006/relationships/hyperlink" Target="https://www.teledec.fr/declaration/2652616" TargetMode="External" Id="rId3"/><Relationship Type="http://schemas.openxmlformats.org/officeDocument/2006/relationships/hyperlink" Target="https://www.impots.gouv.fr/portail/files/formulaires/2031-sd/2022/2031-sd_3755.pdf" TargetMode="External" Id="rId4"/><Relationship Type="http://schemas.openxmlformats.org/officeDocument/2006/relationships/hyperlink" Target="https://www.compta-online.com/tva-immobiliere-et-appartement-en-vefa-t71580" TargetMode="External" Id="rId5"/><Relationship Type="http://schemas.openxmlformats.org/officeDocument/2006/relationships/hyperlink" Target="https://www.jedeclaremonmeuble.com/deficit-reportable-lmnp/" TargetMode="External" Id="rId6"/><Relationship Type="http://schemas.openxmlformats.org/officeDocument/2006/relationships/hyperlink" Target="https://www.bailfacile.fr/guides/declaration-formulaire-2031" TargetMode="External" Id="rId7"/><Relationship Type="http://schemas.openxmlformats.org/officeDocument/2006/relationships/hyperlink" Target="https://www.vinci-immobilier.com/investissement-locatif/lmnp/amortissement-bien-lmnp" TargetMode="External" Id="rId8"/><Relationship Type="http://schemas.openxmlformats.org/officeDocument/2006/relationships/hyperlink" Target="https://www.empruntis.com/financement/investissement-locatif/formulaire-2031.php" TargetMode="External" Id="rId9"/><Relationship Type="http://schemas.openxmlformats.org/officeDocument/2006/relationships/hyperlink" Target="https://www.impots.gouv.fr/professionnel/questions/suis-je-oblige-de-recourir-aux-services-dun-expert-comptable" TargetMode="External" Id="rId10"/><Relationship Type="http://schemas.openxmlformats.org/officeDocument/2006/relationships/hyperlink" Target="https://www.impots.gouv.fr/particulier/location-meublee" TargetMode="External" Id="rId11"/><Relationship Type="http://schemas.openxmlformats.org/officeDocument/2006/relationships/hyperlink" Target="http://www.lmnp-declaration.fr/" TargetMode="External" Id="rId12"/><Relationship Type="http://schemas.openxmlformats.org/officeDocument/2006/relationships/hyperlink" Target="https://lmnp.ai/ressources/comment-amortir-la-toiture-en-lmnp" TargetMode="External" Id="rId13"/><Relationship Type="http://schemas.openxmlformats.org/officeDocument/2006/relationships/hyperlink" Target="https://lmnp.ai/ressources/comment-amortir-les-amnagements-intrieurs-en-lmnp" TargetMode="External" Id="rId14"/><Relationship Type="http://schemas.openxmlformats.org/officeDocument/2006/relationships/hyperlink" Target="https://lmnp.blog/je-fais-ma-premiere-declaration-en-lmnp/" TargetMode="External" Id="rId15"/></Relationships>
</file>

<file path=xl/worksheets/_rels/sheet5.xml.rels><Relationships xmlns="http://schemas.openxmlformats.org/package/2006/relationships"><Relationship Type="http://schemas.openxmlformats.org/officeDocument/2006/relationships/hyperlink" Target="https://www.impots.gouv.fr/formulaire/2033-sd/liasse-bicsi-regime-rsi-tableaux-ndeg-2033-sd-2033-g-sd" TargetMode="External" Id="rId1"/><Relationship Type="http://schemas.openxmlformats.org/officeDocument/2006/relationships/hyperlink" Target="https://drive.google.com/drive/u/0/folders/1EibZPSCjeqKnsy1YXtMZagqeOC-PYlnt" TargetMode="External" Id="rId2"/><Relationship Type="http://schemas.openxmlformats.org/officeDocument/2006/relationships/hyperlink" Target="https://www.impots.gouv.fr/professionnel/questions/dans-le-cas-dune-entreprise-concernee-par-un-regime-reel-dimposition-limpot" TargetMode="External" Id="rId3"/></Relationships>
</file>

<file path=xl/worksheets/_rels/sheet6.xml.rels><Relationships xmlns="http://schemas.openxmlformats.org/package/2006/relationships"><Relationship Type="http://schemas.openxmlformats.org/officeDocument/2006/relationships/hyperlink" Target="https://www.join-jump.com/guide/declaration-2033" TargetMode="External" Id="rId1"/></Relationships>
</file>

<file path=xl/worksheets/sheet1.xml><?xml version="1.0" encoding="utf-8"?>
<worksheet xmlns="http://schemas.openxmlformats.org/spreadsheetml/2006/main">
  <sheetPr>
    <outlinePr summaryBelow="1" summaryRight="1"/>
    <pageSetUpPr/>
  </sheetPr>
  <dimension ref="A1:Z281"/>
  <sheetViews>
    <sheetView tabSelected="1" workbookViewId="0">
      <pane xSplit="1" ySplit="1" topLeftCell="B151" activePane="bottomRight" state="frozen"/>
      <selection pane="topRight" activeCell="B1" sqref="B1"/>
      <selection pane="bottomLeft" activeCell="A2" sqref="A2"/>
      <selection pane="bottomRight" activeCell="E163" sqref="E163"/>
    </sheetView>
  </sheetViews>
  <sheetFormatPr baseColWidth="8" defaultColWidth="12.5703125" defaultRowHeight="15" customHeight="1"/>
  <cols>
    <col width="17" customWidth="1" min="1" max="1"/>
    <col width="15.42578125" customWidth="1" min="2" max="2"/>
    <col width="8.5703125" customWidth="1" min="3" max="3"/>
    <col width="12.28515625" customWidth="1" min="4" max="4"/>
    <col width="65.140625" customWidth="1" min="5" max="5"/>
    <col width="8.5703125" customWidth="1" min="6" max="7"/>
    <col width="42.140625" customWidth="1" min="8" max="8"/>
    <col width="8.5703125" customWidth="1" min="9" max="26"/>
  </cols>
  <sheetData>
    <row r="1">
      <c r="A1" s="42" t="inlineStr">
        <is>
          <t>Date</t>
        </is>
      </c>
      <c r="B1" s="42" t="inlineStr">
        <is>
          <t>Moyen</t>
        </is>
      </c>
      <c r="C1" s="42" t="inlineStr">
        <is>
          <t>Compte</t>
        </is>
      </c>
      <c r="D1" s="42" t="inlineStr">
        <is>
          <t>Nature</t>
        </is>
      </c>
      <c r="E1" s="42" t="inlineStr">
        <is>
          <t>Commentaire</t>
        </is>
      </c>
      <c r="F1" s="42" t="inlineStr">
        <is>
          <t>Débit</t>
        </is>
      </c>
      <c r="G1" s="42" t="inlineStr">
        <is>
          <t>Crédit</t>
        </is>
      </c>
      <c r="H1" s="42" t="inlineStr">
        <is>
          <t>Justificatif</t>
        </is>
      </c>
    </row>
    <row r="2">
      <c r="A2" s="43" t="n">
        <v>44343</v>
      </c>
      <c r="B2" s="43" t="inlineStr">
        <is>
          <t>Virement</t>
        </is>
      </c>
      <c r="C2" s="42" t="inlineStr">
        <is>
          <t>Joint</t>
        </is>
      </c>
      <c r="D2" s="42" t="inlineStr">
        <is>
          <t>Pret</t>
        </is>
      </c>
      <c r="E2" s="42" t="inlineStr">
        <is>
          <t>Frais notaire</t>
        </is>
      </c>
      <c r="F2" s="42" t="n">
        <v>4142</v>
      </c>
      <c r="G2" s="42" t="n"/>
      <c r="H2" s="44" t="inlineStr">
        <is>
          <t>1,4</t>
        </is>
      </c>
    </row>
    <row r="3">
      <c r="A3" s="43" t="n">
        <v>44347</v>
      </c>
      <c r="B3" s="43" t="inlineStr">
        <is>
          <t>Virement</t>
        </is>
      </c>
      <c r="C3" s="42" t="inlineStr">
        <is>
          <t>Joint</t>
        </is>
      </c>
      <c r="D3" s="42" t="inlineStr">
        <is>
          <t>Pret</t>
        </is>
      </c>
      <c r="E3" s="42" t="inlineStr">
        <is>
          <t>Participation credit logement</t>
        </is>
      </c>
      <c r="F3" s="42" t="n">
        <v>2294.8</v>
      </c>
      <c r="G3" s="42" t="n"/>
      <c r="H3" s="44" t="inlineStr">
        <is>
          <t>1,3</t>
        </is>
      </c>
    </row>
    <row r="4">
      <c r="A4" s="43" t="n">
        <v>44357</v>
      </c>
      <c r="B4" s="43" t="inlineStr">
        <is>
          <t>Prélèvement</t>
        </is>
      </c>
      <c r="C4" s="42" t="inlineStr">
        <is>
          <t>Joint</t>
        </is>
      </c>
      <c r="D4" s="42" t="inlineStr">
        <is>
          <t>Pret</t>
        </is>
      </c>
      <c r="E4" s="42" t="inlineStr">
        <is>
          <t>Echeance 30% + assurance BNP (A&amp;X) + comission ouverture</t>
        </is>
      </c>
      <c r="F4" s="42" t="n">
        <v>1347.65</v>
      </c>
      <c r="G4" s="42" t="n"/>
      <c r="H4" s="44" t="inlineStr">
        <is>
          <t>1,3</t>
        </is>
      </c>
    </row>
    <row r="5">
      <c r="A5" s="43" t="n">
        <v>44389</v>
      </c>
      <c r="B5" s="43" t="inlineStr">
        <is>
          <t>Prélèvement</t>
        </is>
      </c>
      <c r="C5" s="42" t="inlineStr">
        <is>
          <t>Joint</t>
        </is>
      </c>
      <c r="D5" s="42" t="inlineStr">
        <is>
          <t>Pret</t>
        </is>
      </c>
      <c r="E5" s="42" t="inlineStr">
        <is>
          <t>Echeance 30% + assurance BNP (A&amp;X)</t>
        </is>
      </c>
      <c r="F5" s="42" t="n">
        <v>344.05</v>
      </c>
      <c r="G5" s="42" t="n"/>
      <c r="H5" s="44" t="inlineStr">
        <is>
          <t>5</t>
        </is>
      </c>
    </row>
    <row r="6">
      <c r="A6" s="43" t="n">
        <v>44418</v>
      </c>
      <c r="B6" s="43" t="inlineStr">
        <is>
          <t>Prélèvement</t>
        </is>
      </c>
      <c r="C6" s="42" t="inlineStr">
        <is>
          <t>Joint</t>
        </is>
      </c>
      <c r="D6" s="42" t="inlineStr">
        <is>
          <t>Pret</t>
        </is>
      </c>
      <c r="E6" s="42" t="inlineStr">
        <is>
          <t>Echeance 30% + assurance BNP (A&amp;X)</t>
        </is>
      </c>
      <c r="F6" s="42" t="n">
        <v>344.05</v>
      </c>
      <c r="G6" s="42" t="n"/>
      <c r="H6" s="44" t="inlineStr">
        <is>
          <t>6</t>
        </is>
      </c>
    </row>
    <row r="7">
      <c r="A7" s="43" t="n">
        <v>44445</v>
      </c>
      <c r="B7" s="43" t="inlineStr">
        <is>
          <t>Virement</t>
        </is>
      </c>
      <c r="C7" s="42" t="inlineStr">
        <is>
          <t>Joint</t>
        </is>
      </c>
      <c r="D7" s="42" t="inlineStr">
        <is>
          <t>Pret</t>
        </is>
      </c>
      <c r="E7" s="42" t="inlineStr">
        <is>
          <t>Remboursement frais notaire</t>
        </is>
      </c>
      <c r="F7" s="42" t="n"/>
      <c r="G7" s="42" t="n">
        <v>301.87</v>
      </c>
      <c r="H7" s="44" t="inlineStr">
        <is>
          <t>1,7</t>
        </is>
      </c>
    </row>
    <row r="8">
      <c r="A8" s="43" t="n">
        <v>44449</v>
      </c>
      <c r="B8" s="43" t="inlineStr">
        <is>
          <t>Prélèvement</t>
        </is>
      </c>
      <c r="C8" s="42" t="inlineStr">
        <is>
          <t>Joint</t>
        </is>
      </c>
      <c r="D8" s="42" t="inlineStr">
        <is>
          <t>Pret</t>
        </is>
      </c>
      <c r="E8" s="42" t="inlineStr">
        <is>
          <t>Echeance 30% + assurance BNP (A&amp;X)</t>
        </is>
      </c>
      <c r="F8" s="42" t="n">
        <v>344.05</v>
      </c>
      <c r="G8" s="42" t="n"/>
      <c r="H8" s="44" t="inlineStr">
        <is>
          <t>7</t>
        </is>
      </c>
    </row>
    <row r="9">
      <c r="A9" s="43" t="n">
        <v>44480</v>
      </c>
      <c r="B9" s="43" t="inlineStr">
        <is>
          <t>Prélèvement</t>
        </is>
      </c>
      <c r="C9" s="42" t="inlineStr">
        <is>
          <t>Joint</t>
        </is>
      </c>
      <c r="D9" s="42" t="inlineStr">
        <is>
          <t>Pret</t>
        </is>
      </c>
      <c r="E9" s="42" t="inlineStr">
        <is>
          <t>Echeance 35% + assurance BNP (A&amp;X)</t>
        </is>
      </c>
      <c r="F9" s="42" t="n">
        <v>396.88</v>
      </c>
      <c r="G9" s="42" t="n"/>
      <c r="H9" s="44" t="inlineStr">
        <is>
          <t>8</t>
        </is>
      </c>
    </row>
    <row r="10">
      <c r="A10" s="43" t="n">
        <v>44510</v>
      </c>
      <c r="B10" s="43" t="inlineStr">
        <is>
          <t>Prélèvement</t>
        </is>
      </c>
      <c r="C10" s="42" t="inlineStr">
        <is>
          <t>Joint</t>
        </is>
      </c>
      <c r="D10" s="42" t="inlineStr">
        <is>
          <t>Pret</t>
        </is>
      </c>
      <c r="E10" s="42" t="inlineStr">
        <is>
          <t>Echeance 35% + assurance BNP (A&amp;X)</t>
        </is>
      </c>
      <c r="F10" s="42" t="n">
        <v>396.88</v>
      </c>
      <c r="G10" s="42" t="n"/>
      <c r="H10" s="44" t="inlineStr">
        <is>
          <t>9</t>
        </is>
      </c>
    </row>
    <row r="11">
      <c r="A11" s="43" t="n">
        <v>44540</v>
      </c>
      <c r="B11" s="43" t="inlineStr">
        <is>
          <t>Prélèvement</t>
        </is>
      </c>
      <c r="C11" s="42" t="inlineStr">
        <is>
          <t>Joint</t>
        </is>
      </c>
      <c r="D11" s="42" t="inlineStr">
        <is>
          <t>Pret</t>
        </is>
      </c>
      <c r="E11" s="42" t="inlineStr">
        <is>
          <t>Echeance 50% + assurance BNP (A&amp;X)</t>
        </is>
      </c>
      <c r="F11" s="42" t="n">
        <v>555.38</v>
      </c>
      <c r="G11" s="42" t="n"/>
      <c r="H11" s="44" t="inlineStr">
        <is>
          <t>10</t>
        </is>
      </c>
    </row>
    <row r="12">
      <c r="A12" s="43" t="n">
        <v>44571</v>
      </c>
      <c r="B12" s="43" t="inlineStr">
        <is>
          <t>Prélèvement</t>
        </is>
      </c>
      <c r="C12" s="42" t="inlineStr">
        <is>
          <t>Joint</t>
        </is>
      </c>
      <c r="D12" s="42" t="inlineStr">
        <is>
          <t>Pret</t>
        </is>
      </c>
      <c r="E12" s="42" t="inlineStr">
        <is>
          <t>Echeance 50% + assurance BNP (A&amp;X)</t>
        </is>
      </c>
      <c r="F12" s="42" t="n">
        <v>555.38</v>
      </c>
      <c r="G12" s="42" t="n"/>
      <c r="H12" s="44" t="inlineStr">
        <is>
          <t>11</t>
        </is>
      </c>
    </row>
    <row r="13">
      <c r="A13" s="43" t="n">
        <v>44602</v>
      </c>
      <c r="B13" s="43" t="inlineStr">
        <is>
          <t>Prélèvement</t>
        </is>
      </c>
      <c r="C13" s="42" t="inlineStr">
        <is>
          <t>Joint</t>
        </is>
      </c>
      <c r="D13" s="42" t="inlineStr">
        <is>
          <t>Pret</t>
        </is>
      </c>
      <c r="E13" s="42" t="inlineStr">
        <is>
          <t>Echeance 50% + assurance BNP (A&amp;X)</t>
        </is>
      </c>
      <c r="F13" s="42" t="n">
        <v>555.38</v>
      </c>
      <c r="G13" s="42" t="n"/>
      <c r="H13" s="44" t="inlineStr">
        <is>
          <t>12</t>
        </is>
      </c>
    </row>
    <row r="14">
      <c r="A14" s="43" t="n">
        <v>44630</v>
      </c>
      <c r="B14" s="43" t="inlineStr">
        <is>
          <t>Prélèvement</t>
        </is>
      </c>
      <c r="C14" s="42" t="inlineStr">
        <is>
          <t>Joint</t>
        </is>
      </c>
      <c r="D14" s="42" t="inlineStr">
        <is>
          <t>Pret</t>
        </is>
      </c>
      <c r="E14" s="42" t="inlineStr">
        <is>
          <t>Echeance 50% + assurance BNP (A&amp;X)</t>
        </is>
      </c>
      <c r="F14" s="42" t="n">
        <v>555.38</v>
      </c>
      <c r="G14" s="42" t="n"/>
      <c r="H14" s="44" t="inlineStr">
        <is>
          <t>13</t>
        </is>
      </c>
    </row>
    <row r="15">
      <c r="A15" s="43" t="n">
        <v>44662</v>
      </c>
      <c r="B15" s="43" t="inlineStr">
        <is>
          <t>Prélèvement</t>
        </is>
      </c>
      <c r="C15" s="42" t="inlineStr">
        <is>
          <t>Joint</t>
        </is>
      </c>
      <c r="D15" s="42" t="inlineStr">
        <is>
          <t>Pret</t>
        </is>
      </c>
      <c r="E15" s="42" t="inlineStr">
        <is>
          <t>Echeance 50% + assurance BNP (A&amp;X)</t>
        </is>
      </c>
      <c r="F15" s="42" t="n">
        <v>555.38</v>
      </c>
      <c r="G15" s="42" t="n"/>
      <c r="H15" s="44" t="inlineStr">
        <is>
          <t>14</t>
        </is>
      </c>
    </row>
    <row r="16">
      <c r="A16" s="43" t="n">
        <v>44691</v>
      </c>
      <c r="B16" s="43" t="inlineStr">
        <is>
          <t>Prélèvement</t>
        </is>
      </c>
      <c r="C16" s="42" t="inlineStr">
        <is>
          <t>Joint</t>
        </is>
      </c>
      <c r="D16" s="42" t="inlineStr">
        <is>
          <t>Pret</t>
        </is>
      </c>
      <c r="E16" s="42" t="inlineStr">
        <is>
          <t>Echeance 60% + assurance BNP (A&amp;X)</t>
        </is>
      </c>
      <c r="F16" s="42" t="n">
        <v>661.04</v>
      </c>
      <c r="G16" s="42" t="n"/>
      <c r="H16" s="44" t="inlineStr">
        <is>
          <t>15</t>
        </is>
      </c>
    </row>
    <row r="17">
      <c r="A17" s="43" t="n">
        <v>44722</v>
      </c>
      <c r="B17" s="43" t="inlineStr">
        <is>
          <t>Prélèvement</t>
        </is>
      </c>
      <c r="C17" s="42" t="inlineStr">
        <is>
          <t>Joint</t>
        </is>
      </c>
      <c r="D17" s="42" t="inlineStr">
        <is>
          <t>Pret</t>
        </is>
      </c>
      <c r="E17" s="42" t="inlineStr">
        <is>
          <t>Echeance 60% + assurance BNP (A&amp;X)</t>
        </is>
      </c>
      <c r="F17" s="42" t="n">
        <v>661.04</v>
      </c>
      <c r="G17" s="42" t="n"/>
      <c r="H17" s="44" t="inlineStr">
        <is>
          <t>16</t>
        </is>
      </c>
    </row>
    <row r="18">
      <c r="A18" s="43" t="n">
        <v>44753</v>
      </c>
      <c r="B18" s="43" t="inlineStr">
        <is>
          <t>Prélèvement</t>
        </is>
      </c>
      <c r="C18" s="42" t="inlineStr">
        <is>
          <t>Joint</t>
        </is>
      </c>
      <c r="D18" s="42" t="inlineStr">
        <is>
          <t>Pret</t>
        </is>
      </c>
      <c r="E18" s="42" t="inlineStr">
        <is>
          <t>Echeance 60% + assurance BNP (A&amp;X)</t>
        </is>
      </c>
      <c r="F18" s="42" t="n">
        <v>661.04</v>
      </c>
      <c r="G18" s="42" t="n"/>
      <c r="H18" s="44" t="inlineStr">
        <is>
          <t>17</t>
        </is>
      </c>
    </row>
    <row r="19">
      <c r="A19" s="43" t="n">
        <v>44783</v>
      </c>
      <c r="B19" s="43" t="inlineStr">
        <is>
          <t>Prélèvement</t>
        </is>
      </c>
      <c r="C19" s="42" t="inlineStr">
        <is>
          <t>Joint</t>
        </is>
      </c>
      <c r="D19" s="42" t="inlineStr">
        <is>
          <t>Pret</t>
        </is>
      </c>
      <c r="E19" s="42" t="inlineStr">
        <is>
          <t>Echeance 70% + assurance BNP (A&amp;X)</t>
        </is>
      </c>
      <c r="F19" s="42" t="n">
        <v>766.71</v>
      </c>
      <c r="G19" s="42" t="n"/>
      <c r="H19" s="44" t="inlineStr">
        <is>
          <t>18</t>
        </is>
      </c>
    </row>
    <row r="20">
      <c r="A20" s="43" t="n">
        <v>44816</v>
      </c>
      <c r="B20" s="43" t="inlineStr">
        <is>
          <t>Prélèvement</t>
        </is>
      </c>
      <c r="C20" s="42" t="inlineStr">
        <is>
          <t>Joint</t>
        </is>
      </c>
      <c r="D20" s="42" t="inlineStr">
        <is>
          <t>Pret</t>
        </is>
      </c>
      <c r="E20" s="42" t="inlineStr">
        <is>
          <t>Echeance 70% + assurance BNP (A&amp;X)</t>
        </is>
      </c>
      <c r="F20" s="42" t="n">
        <v>766.71</v>
      </c>
      <c r="G20" s="42" t="n"/>
      <c r="H20" s="44" t="inlineStr">
        <is>
          <t>19</t>
        </is>
      </c>
    </row>
    <row r="21">
      <c r="A21" s="43" t="n">
        <v>44835</v>
      </c>
      <c r="B21" s="43" t="inlineStr">
        <is>
          <t>Cash</t>
        </is>
      </c>
      <c r="C21" s="42" t="n"/>
      <c r="D21" s="42" t="inlineStr">
        <is>
          <t>Meuble</t>
        </is>
      </c>
      <c r="E21" s="42" t="inlineStr">
        <is>
          <t>Robinet</t>
        </is>
      </c>
      <c r="F21" s="42" t="n">
        <v>55</v>
      </c>
      <c r="G21" s="42" t="n"/>
      <c r="H21" s="44" t="inlineStr">
        <is>
          <t>62</t>
        </is>
      </c>
    </row>
    <row r="22">
      <c r="A22" s="43" t="n">
        <v>44836</v>
      </c>
      <c r="B22" s="43" t="inlineStr">
        <is>
          <t>Cash</t>
        </is>
      </c>
      <c r="C22" s="42" t="n"/>
      <c r="D22" s="42" t="inlineStr">
        <is>
          <t>Meuble</t>
        </is>
      </c>
      <c r="E22" s="42" t="inlineStr">
        <is>
          <t>Luminaire</t>
        </is>
      </c>
      <c r="F22" s="42" t="n">
        <v>23.99</v>
      </c>
      <c r="G22" s="42" t="n"/>
      <c r="H22" s="44" t="inlineStr">
        <is>
          <t>63</t>
        </is>
      </c>
    </row>
    <row r="23">
      <c r="A23" s="43" t="n">
        <v>44839</v>
      </c>
      <c r="B23" s="43" t="inlineStr">
        <is>
          <t>Prélèvement</t>
        </is>
      </c>
      <c r="C23" s="42" t="inlineStr">
        <is>
          <t>Joint</t>
        </is>
      </c>
      <c r="D23" s="42" t="inlineStr">
        <is>
          <t>Assurance</t>
        </is>
      </c>
      <c r="E23" s="42" t="inlineStr">
        <is>
          <t>Inscription Assurance (X) Multi impact contrat 202201364</t>
        </is>
      </c>
      <c r="F23" s="42" t="n">
        <v>90.55</v>
      </c>
      <c r="G23" s="42" t="n"/>
      <c r="H23" s="44" t="inlineStr">
        <is>
          <t>20</t>
        </is>
      </c>
    </row>
    <row r="24">
      <c r="A24" s="43" t="n">
        <v>44844</v>
      </c>
      <c r="B24" s="43" t="inlineStr">
        <is>
          <t>Prélèvement</t>
        </is>
      </c>
      <c r="C24" s="42" t="inlineStr">
        <is>
          <t>Joint</t>
        </is>
      </c>
      <c r="D24" s="42" t="inlineStr">
        <is>
          <t>Pret</t>
        </is>
      </c>
      <c r="E24" s="42" t="inlineStr">
        <is>
          <t>Echeance 70% + assurance BNP (A&amp;X)</t>
        </is>
      </c>
      <c r="F24" s="42" t="n">
        <v>766.71</v>
      </c>
      <c r="G24" s="42" t="n"/>
      <c r="H24" s="44" t="inlineStr">
        <is>
          <t>20</t>
        </is>
      </c>
    </row>
    <row r="25">
      <c r="A25" s="43" t="n">
        <v>44868</v>
      </c>
      <c r="B25" s="43" t="inlineStr">
        <is>
          <t>Prélèvement</t>
        </is>
      </c>
      <c r="C25" s="42" t="inlineStr">
        <is>
          <t>Joint</t>
        </is>
      </c>
      <c r="D25" s="42" t="inlineStr">
        <is>
          <t>Assurance</t>
        </is>
      </c>
      <c r="E25" s="42" t="inlineStr">
        <is>
          <t>Remboursement assurance (X) Multi impact contrat 202201364</t>
        </is>
      </c>
      <c r="F25" s="42" t="n"/>
      <c r="G25" s="42" t="n">
        <v>40.55</v>
      </c>
      <c r="H25" s="44" t="inlineStr">
        <is>
          <t>21</t>
        </is>
      </c>
    </row>
    <row r="26">
      <c r="A26" s="43" t="n">
        <v>44875</v>
      </c>
      <c r="B26" s="43" t="inlineStr">
        <is>
          <t>Prélèvement</t>
        </is>
      </c>
      <c r="C26" s="42" t="inlineStr">
        <is>
          <t>Joint</t>
        </is>
      </c>
      <c r="D26" s="42" t="inlineStr">
        <is>
          <t>Pret</t>
        </is>
      </c>
      <c r="E26" s="42" t="inlineStr">
        <is>
          <t>Echeance 70% + assurance BNP (A&amp;X)</t>
        </is>
      </c>
      <c r="F26" s="42" t="n">
        <v>766.71</v>
      </c>
      <c r="G26" s="42" t="n"/>
      <c r="H26" s="44" t="inlineStr">
        <is>
          <t>21</t>
        </is>
      </c>
    </row>
    <row r="27">
      <c r="A27" s="43" t="n">
        <v>44900</v>
      </c>
      <c r="B27" s="43" t="inlineStr">
        <is>
          <t>Prélèvement</t>
        </is>
      </c>
      <c r="C27" s="42" t="inlineStr">
        <is>
          <t>Joint</t>
        </is>
      </c>
      <c r="D27" s="42" t="inlineStr">
        <is>
          <t>Assurance</t>
        </is>
      </c>
      <c r="E27" s="42" t="inlineStr">
        <is>
          <t>Assurance (X) Multi impact contrat 202201364</t>
        </is>
      </c>
      <c r="F27" s="42" t="n">
        <v>20.32</v>
      </c>
      <c r="G27" s="42" t="n"/>
      <c r="H27" s="44" t="inlineStr">
        <is>
          <t>22</t>
        </is>
      </c>
    </row>
    <row r="28">
      <c r="A28" s="43" t="n">
        <v>44907</v>
      </c>
      <c r="B28" s="43" t="inlineStr">
        <is>
          <t>Prélèvement</t>
        </is>
      </c>
      <c r="C28" s="42" t="inlineStr">
        <is>
          <t>Joint</t>
        </is>
      </c>
      <c r="D28" s="42" t="inlineStr">
        <is>
          <t>Pret</t>
        </is>
      </c>
      <c r="E28" s="42" t="inlineStr">
        <is>
          <t>Echeance 70% + assurance BNP (A&amp;X)</t>
        </is>
      </c>
      <c r="F28" s="42" t="n">
        <v>766.71</v>
      </c>
      <c r="G28" s="42" t="n"/>
      <c r="H28" s="44" t="inlineStr">
        <is>
          <t>22</t>
        </is>
      </c>
    </row>
    <row r="29">
      <c r="A29" s="43" t="n">
        <v>44931</v>
      </c>
      <c r="B29" s="43" t="inlineStr">
        <is>
          <t>Prélèvement</t>
        </is>
      </c>
      <c r="C29" s="42" t="inlineStr">
        <is>
          <t>Joint</t>
        </is>
      </c>
      <c r="D29" s="42" t="inlineStr">
        <is>
          <t>Assurance</t>
        </is>
      </c>
      <c r="E29" s="42" t="inlineStr">
        <is>
          <t>Assurance (X) Twinseo contrat HAR1012515</t>
        </is>
      </c>
      <c r="F29" s="42" t="n">
        <v>24.36</v>
      </c>
      <c r="G29" s="42" t="n"/>
      <c r="H29" s="44" t="inlineStr">
        <is>
          <t>23,44</t>
        </is>
      </c>
    </row>
    <row r="30" ht="15.75" customHeight="1">
      <c r="A30" s="43" t="n">
        <v>44931</v>
      </c>
      <c r="B30" s="43" t="inlineStr">
        <is>
          <t>Prélèvement</t>
        </is>
      </c>
      <c r="C30" s="42" t="inlineStr">
        <is>
          <t>Joint</t>
        </is>
      </c>
      <c r="D30" s="42" t="inlineStr">
        <is>
          <t>Assurance</t>
        </is>
      </c>
      <c r="E30" s="42" t="inlineStr">
        <is>
          <t>Assurance (X) Multi impact contrat 202201364</t>
        </is>
      </c>
      <c r="F30" s="42" t="n">
        <v>35.09</v>
      </c>
      <c r="G30" s="42" t="n"/>
      <c r="H30" s="44" t="inlineStr">
        <is>
          <t>23</t>
        </is>
      </c>
    </row>
    <row r="31" ht="15.75" customHeight="1">
      <c r="A31" s="43" t="n">
        <v>44936</v>
      </c>
      <c r="B31" s="43" t="inlineStr">
        <is>
          <t>Prélèvement</t>
        </is>
      </c>
      <c r="C31" s="42" t="inlineStr">
        <is>
          <t>Joint</t>
        </is>
      </c>
      <c r="D31" s="42" t="inlineStr">
        <is>
          <t>Pret</t>
        </is>
      </c>
      <c r="E31" s="42" t="inlineStr">
        <is>
          <t>Echeance 70% + assurance BNP (A&amp;X)</t>
        </is>
      </c>
      <c r="F31" s="42" t="n">
        <v>766.71</v>
      </c>
      <c r="G31" s="42" t="n"/>
      <c r="H31" s="44" t="inlineStr">
        <is>
          <t>23</t>
        </is>
      </c>
    </row>
    <row r="32" ht="15.75" customHeight="1">
      <c r="A32" s="43" t="n">
        <v>44963</v>
      </c>
      <c r="B32" s="43" t="inlineStr">
        <is>
          <t>Prélèvement</t>
        </is>
      </c>
      <c r="C32" s="42" t="inlineStr">
        <is>
          <t>Joint</t>
        </is>
      </c>
      <c r="D32" s="42" t="inlineStr">
        <is>
          <t>Assurance</t>
        </is>
      </c>
      <c r="E32" s="42" t="inlineStr">
        <is>
          <t>Assurance (X) Twinseo contrat HAR1012515</t>
        </is>
      </c>
      <c r="F32" s="42" t="n">
        <v>14.36</v>
      </c>
      <c r="G32" s="42" t="n"/>
      <c r="H32" s="44" t="inlineStr">
        <is>
          <t>24,44</t>
        </is>
      </c>
    </row>
    <row r="33">
      <c r="A33" s="43" t="n">
        <v>44967</v>
      </c>
      <c r="B33" s="43" t="inlineStr">
        <is>
          <t>Prélèvement</t>
        </is>
      </c>
      <c r="C33" s="42" t="inlineStr">
        <is>
          <t>Joint</t>
        </is>
      </c>
      <c r="D33" s="42" t="inlineStr">
        <is>
          <t>Pret</t>
        </is>
      </c>
      <c r="E33" s="42" t="inlineStr">
        <is>
          <t>Echeance 70% + assurance BNP (A&amp;X)</t>
        </is>
      </c>
      <c r="F33" s="42" t="n">
        <v>766.71</v>
      </c>
      <c r="G33" s="42" t="n"/>
      <c r="H33" s="44" t="inlineStr">
        <is>
          <t>24</t>
        </is>
      </c>
    </row>
    <row r="34">
      <c r="A34" s="43" t="n">
        <v>44991</v>
      </c>
      <c r="B34" s="43" t="inlineStr">
        <is>
          <t>Prélèvement</t>
        </is>
      </c>
      <c r="C34" s="42" t="inlineStr">
        <is>
          <t>Joint</t>
        </is>
      </c>
      <c r="D34" s="42" t="inlineStr">
        <is>
          <t>Assurance</t>
        </is>
      </c>
      <c r="E34" s="42" t="inlineStr">
        <is>
          <t>Assurance (X) Twinseo contrat HAR1012515</t>
        </is>
      </c>
      <c r="F34" s="42" t="n">
        <v>1.32</v>
      </c>
      <c r="G34" s="42" t="n"/>
      <c r="H34" s="44" t="inlineStr">
        <is>
          <t>25,44</t>
        </is>
      </c>
    </row>
    <row r="35">
      <c r="A35" s="43" t="n">
        <v>44991</v>
      </c>
      <c r="B35" s="43" t="inlineStr">
        <is>
          <t>Prélèvement</t>
        </is>
      </c>
      <c r="C35" s="42" t="inlineStr">
        <is>
          <t>Joint</t>
        </is>
      </c>
      <c r="D35" s="42" t="inlineStr">
        <is>
          <t>Assurance</t>
        </is>
      </c>
      <c r="E35" s="42" t="inlineStr">
        <is>
          <t>Assurance (X) Twinseo contrat HAR1012515</t>
        </is>
      </c>
      <c r="F35" s="42" t="n">
        <v>15.02</v>
      </c>
      <c r="G35" s="42" t="n"/>
      <c r="H35" s="44" t="inlineStr">
        <is>
          <t>25,44</t>
        </is>
      </c>
    </row>
    <row r="36">
      <c r="A36" s="43" t="n">
        <v>44995</v>
      </c>
      <c r="B36" s="43" t="inlineStr">
        <is>
          <t>Prélèvement</t>
        </is>
      </c>
      <c r="C36" s="42" t="inlineStr">
        <is>
          <t>Joint</t>
        </is>
      </c>
      <c r="D36" s="42" t="inlineStr">
        <is>
          <t>Pret</t>
        </is>
      </c>
      <c r="E36" s="42" t="inlineStr">
        <is>
          <t>Echeance 70% + assurance BNP (A&amp;X)</t>
        </is>
      </c>
      <c r="F36" s="42" t="n">
        <v>766.71</v>
      </c>
      <c r="G36" s="42" t="n"/>
      <c r="H36" s="44" t="inlineStr">
        <is>
          <t>25</t>
        </is>
      </c>
    </row>
    <row r="37">
      <c r="A37" s="43" t="n">
        <v>45021</v>
      </c>
      <c r="B37" s="43" t="inlineStr">
        <is>
          <t>Prélèvement</t>
        </is>
      </c>
      <c r="C37" s="42" t="inlineStr">
        <is>
          <t>Joint</t>
        </is>
      </c>
      <c r="D37" s="42" t="inlineStr">
        <is>
          <t>Assurance</t>
        </is>
      </c>
      <c r="E37" s="42" t="inlineStr">
        <is>
          <t>Assurance (X) Twinseo contrat HAR1012515</t>
        </is>
      </c>
      <c r="F37" s="42" t="n">
        <v>15.02</v>
      </c>
      <c r="G37" s="42" t="n"/>
      <c r="H37" s="44" t="inlineStr">
        <is>
          <t>26,44</t>
        </is>
      </c>
    </row>
    <row r="38">
      <c r="A38" s="43" t="n">
        <v>45027</v>
      </c>
      <c r="B38" s="43" t="inlineStr">
        <is>
          <t>Prélèvement</t>
        </is>
      </c>
      <c r="C38" s="42" t="inlineStr">
        <is>
          <t>Joint</t>
        </is>
      </c>
      <c r="D38" s="42" t="inlineStr">
        <is>
          <t>Pret</t>
        </is>
      </c>
      <c r="E38" s="42" t="inlineStr">
        <is>
          <t>Echeance 70% + assurance BNP (A)</t>
        </is>
      </c>
      <c r="F38" s="42" t="n">
        <v>753.1799999999999</v>
      </c>
      <c r="G38" s="42" t="n"/>
      <c r="H38" s="44" t="inlineStr">
        <is>
          <t>26</t>
        </is>
      </c>
    </row>
    <row r="39">
      <c r="A39" s="43" t="n">
        <v>45051</v>
      </c>
      <c r="B39" s="43" t="inlineStr">
        <is>
          <t>Prélèvement</t>
        </is>
      </c>
      <c r="C39" s="42" t="inlineStr">
        <is>
          <t>Joint</t>
        </is>
      </c>
      <c r="D39" s="42" t="inlineStr">
        <is>
          <t>Assurance</t>
        </is>
      </c>
      <c r="E39" s="42" t="inlineStr">
        <is>
          <t>Assurance (X) Twinseo contrat HAR1012515</t>
        </is>
      </c>
      <c r="F39" s="42" t="n">
        <v>13.27</v>
      </c>
      <c r="G39" s="42" t="n"/>
      <c r="H39" s="44" t="inlineStr">
        <is>
          <t>27,44</t>
        </is>
      </c>
    </row>
    <row r="40">
      <c r="A40" s="43" t="n">
        <v>45056</v>
      </c>
      <c r="B40" s="43" t="inlineStr">
        <is>
          <t>Prélèvement</t>
        </is>
      </c>
      <c r="C40" s="42" t="inlineStr">
        <is>
          <t>Joint</t>
        </is>
      </c>
      <c r="D40" s="42" t="inlineStr">
        <is>
          <t>Pret</t>
        </is>
      </c>
      <c r="E40" s="42" t="inlineStr">
        <is>
          <t>Echeance 70% + assurance BNP (A)</t>
        </is>
      </c>
      <c r="F40" s="42" t="n">
        <v>753.1799999999999</v>
      </c>
      <c r="G40" s="42" t="n"/>
      <c r="H40" s="44" t="inlineStr">
        <is>
          <t>27</t>
        </is>
      </c>
    </row>
    <row r="41">
      <c r="A41" s="43" t="n">
        <v>45082</v>
      </c>
      <c r="B41" s="43" t="inlineStr">
        <is>
          <t>Prélèvement</t>
        </is>
      </c>
      <c r="C41" s="42" t="inlineStr">
        <is>
          <t>Joint</t>
        </is>
      </c>
      <c r="D41" s="42" t="inlineStr">
        <is>
          <t>Assurance</t>
        </is>
      </c>
      <c r="E41" s="42" t="inlineStr">
        <is>
          <t>Assurance (A) Twinseo contrat HAR1018934</t>
        </is>
      </c>
      <c r="F41" s="42" t="n">
        <v>24.79</v>
      </c>
      <c r="G41" s="42" t="n"/>
      <c r="H41" s="44" t="inlineStr">
        <is>
          <t>28,42</t>
        </is>
      </c>
    </row>
    <row r="42">
      <c r="A42" s="43" t="n">
        <v>45082</v>
      </c>
      <c r="B42" s="43" t="inlineStr">
        <is>
          <t>Prélèvement</t>
        </is>
      </c>
      <c r="C42" s="42" t="inlineStr">
        <is>
          <t>Joint</t>
        </is>
      </c>
      <c r="D42" s="42" t="inlineStr">
        <is>
          <t>Assurance</t>
        </is>
      </c>
      <c r="E42" s="42" t="inlineStr">
        <is>
          <t>Assurance (X) Twinseo contrat HAR1012515</t>
        </is>
      </c>
      <c r="F42" s="42" t="n">
        <v>14.67</v>
      </c>
      <c r="G42" s="42" t="n"/>
      <c r="H42" s="44" t="inlineStr">
        <is>
          <t>28,44</t>
        </is>
      </c>
    </row>
    <row r="43">
      <c r="A43" s="43" t="n">
        <v>45089</v>
      </c>
      <c r="B43" s="43" t="inlineStr">
        <is>
          <t>Prélèvement</t>
        </is>
      </c>
      <c r="C43" s="42" t="inlineStr">
        <is>
          <t>Joint</t>
        </is>
      </c>
      <c r="D43" s="42" t="inlineStr">
        <is>
          <t>Pret</t>
        </is>
      </c>
      <c r="E43" s="42" t="inlineStr">
        <is>
          <t>Echeance 70% + assurance BNP (A)</t>
        </is>
      </c>
      <c r="F43" s="42" t="n">
        <v>753.1799999999999</v>
      </c>
      <c r="G43" s="42" t="n"/>
      <c r="H43" s="44" t="inlineStr">
        <is>
          <t>28</t>
        </is>
      </c>
    </row>
    <row r="44">
      <c r="A44" s="43" t="n">
        <v>45112</v>
      </c>
      <c r="B44" s="43" t="inlineStr">
        <is>
          <t>Prélèvement</t>
        </is>
      </c>
      <c r="C44" s="42" t="inlineStr">
        <is>
          <t>Joint</t>
        </is>
      </c>
      <c r="D44" s="42" t="inlineStr">
        <is>
          <t>Assurance</t>
        </is>
      </c>
      <c r="E44" s="42" t="inlineStr">
        <is>
          <t>Assurance (A) Twinseo contrat HAR1018934</t>
        </is>
      </c>
      <c r="F44" s="42" t="n">
        <v>14.79</v>
      </c>
      <c r="G44" s="42" t="n"/>
      <c r="H44" s="44" t="inlineStr">
        <is>
          <t>29,42</t>
        </is>
      </c>
    </row>
    <row r="45">
      <c r="A45" s="43" t="n">
        <v>45112</v>
      </c>
      <c r="B45" s="43" t="inlineStr">
        <is>
          <t>Prélèvement</t>
        </is>
      </c>
      <c r="C45" s="42" t="inlineStr">
        <is>
          <t>Joint</t>
        </is>
      </c>
      <c r="D45" s="42" t="inlineStr">
        <is>
          <t>Assurance</t>
        </is>
      </c>
      <c r="E45" s="42" t="inlineStr">
        <is>
          <t>Assurance (X) Twinseo contrat HAR1012515</t>
        </is>
      </c>
      <c r="F45" s="42" t="n">
        <v>14.67</v>
      </c>
      <c r="G45" s="42" t="n"/>
      <c r="H45" s="44" t="inlineStr">
        <is>
          <t>29,44</t>
        </is>
      </c>
    </row>
    <row r="46">
      <c r="A46" s="43" t="n">
        <v>45117</v>
      </c>
      <c r="B46" s="43" t="inlineStr">
        <is>
          <t>Prélèvement</t>
        </is>
      </c>
      <c r="C46" s="42" t="inlineStr">
        <is>
          <t>Joint</t>
        </is>
      </c>
      <c r="D46" s="42" t="inlineStr">
        <is>
          <t>Pret</t>
        </is>
      </c>
      <c r="E46" s="42" t="inlineStr">
        <is>
          <t>Echeance 70%</t>
        </is>
      </c>
      <c r="F46" s="42" t="n">
        <v>739.65</v>
      </c>
      <c r="G46" s="42" t="n"/>
      <c r="H46" s="44" t="inlineStr">
        <is>
          <t>29</t>
        </is>
      </c>
    </row>
    <row r="47" ht="15.75" customHeight="1">
      <c r="A47" s="43" t="n">
        <v>45145</v>
      </c>
      <c r="B47" s="43" t="inlineStr">
        <is>
          <t>Prélèvement</t>
        </is>
      </c>
      <c r="C47" s="42" t="inlineStr">
        <is>
          <t>Joint</t>
        </is>
      </c>
      <c r="D47" s="42" t="inlineStr">
        <is>
          <t>Assurance</t>
        </is>
      </c>
      <c r="E47" s="42" t="inlineStr">
        <is>
          <t>Assurance (A) Twinseo contrat HAR1018934</t>
        </is>
      </c>
      <c r="F47" s="42" t="n">
        <v>14.79</v>
      </c>
      <c r="G47" s="42" t="n"/>
      <c r="H47" s="44" t="inlineStr">
        <is>
          <t>30,42</t>
        </is>
      </c>
    </row>
    <row r="48" ht="15.75" customHeight="1">
      <c r="A48" s="43" t="n">
        <v>45145</v>
      </c>
      <c r="B48" s="43" t="inlineStr">
        <is>
          <t>Prélèvement</t>
        </is>
      </c>
      <c r="C48" s="42" t="inlineStr">
        <is>
          <t>Joint</t>
        </is>
      </c>
      <c r="D48" s="42" t="inlineStr">
        <is>
          <t>Assurance</t>
        </is>
      </c>
      <c r="E48" s="42" t="inlineStr">
        <is>
          <t>Assurance (X) Twinseo contrat HAR1012515</t>
        </is>
      </c>
      <c r="F48" s="42" t="n">
        <v>14.67</v>
      </c>
      <c r="G48" s="42" t="n"/>
      <c r="H48" s="44" t="inlineStr">
        <is>
          <t>30,44</t>
        </is>
      </c>
    </row>
    <row r="49" ht="15.75" customHeight="1">
      <c r="A49" s="43" t="n">
        <v>45148</v>
      </c>
      <c r="B49" s="43" t="inlineStr">
        <is>
          <t>Prélèvement</t>
        </is>
      </c>
      <c r="C49" s="42" t="inlineStr">
        <is>
          <t>Joint</t>
        </is>
      </c>
      <c r="D49" s="42" t="inlineStr">
        <is>
          <t>Pret</t>
        </is>
      </c>
      <c r="E49" s="42" t="inlineStr">
        <is>
          <t>Echeance 70%</t>
        </is>
      </c>
      <c r="F49" s="42" t="n">
        <v>739.65</v>
      </c>
      <c r="G49" s="42" t="n"/>
      <c r="H49" s="44" t="inlineStr">
        <is>
          <t>30</t>
        </is>
      </c>
    </row>
    <row r="50" ht="15.75" customHeight="1">
      <c r="A50" s="43" t="n">
        <v>45174</v>
      </c>
      <c r="B50" s="43" t="inlineStr">
        <is>
          <t>Prélèvement</t>
        </is>
      </c>
      <c r="C50" s="42" t="inlineStr">
        <is>
          <t>Joint</t>
        </is>
      </c>
      <c r="D50" s="42" t="inlineStr">
        <is>
          <t>Assurance</t>
        </is>
      </c>
      <c r="E50" s="42" t="inlineStr">
        <is>
          <t>Assurance (A) Twinseo contrat HAR1018934</t>
        </is>
      </c>
      <c r="F50" s="42" t="n">
        <v>14.79</v>
      </c>
      <c r="G50" s="42" t="n"/>
      <c r="H50" s="44" t="inlineStr">
        <is>
          <t>31,42</t>
        </is>
      </c>
    </row>
    <row r="51" ht="15.75" customHeight="1">
      <c r="A51" s="43" t="n">
        <v>45174</v>
      </c>
      <c r="B51" s="43" t="inlineStr">
        <is>
          <t>Prélèvement</t>
        </is>
      </c>
      <c r="C51" s="42" t="inlineStr">
        <is>
          <t>Joint</t>
        </is>
      </c>
      <c r="D51" s="42" t="inlineStr">
        <is>
          <t>Assurance</t>
        </is>
      </c>
      <c r="E51" s="42" t="inlineStr">
        <is>
          <t>Assurance (X) Twinseo contrat HAR1012515</t>
        </is>
      </c>
      <c r="F51" s="42" t="n">
        <v>14.67</v>
      </c>
      <c r="G51" s="42" t="n"/>
      <c r="H51" s="44" t="inlineStr">
        <is>
          <t>31,44</t>
        </is>
      </c>
    </row>
    <row r="52" ht="15.75" customHeight="1">
      <c r="A52" s="43" t="n">
        <v>45180</v>
      </c>
      <c r="B52" s="43" t="inlineStr">
        <is>
          <t>Prélèvement</t>
        </is>
      </c>
      <c r="C52" s="42" t="inlineStr">
        <is>
          <t>Joint</t>
        </is>
      </c>
      <c r="D52" s="42" t="inlineStr">
        <is>
          <t>Pret</t>
        </is>
      </c>
      <c r="E52" s="42" t="inlineStr">
        <is>
          <t>Echeance 90%</t>
        </is>
      </c>
      <c r="F52" s="42" t="n">
        <v>950.98</v>
      </c>
      <c r="G52" s="42" t="n"/>
      <c r="H52" s="44" t="inlineStr">
        <is>
          <t>31</t>
        </is>
      </c>
    </row>
    <row r="53">
      <c r="A53" s="43" t="n">
        <v>45204</v>
      </c>
      <c r="B53" s="43" t="inlineStr">
        <is>
          <t>Prélèvement</t>
        </is>
      </c>
      <c r="C53" s="42" t="inlineStr">
        <is>
          <t>Joint</t>
        </is>
      </c>
      <c r="D53" s="42" t="inlineStr">
        <is>
          <t>Assurance</t>
        </is>
      </c>
      <c r="E53" s="42" t="inlineStr">
        <is>
          <t>Assurance (A) Twinseo contrat HAR1018934</t>
        </is>
      </c>
      <c r="F53" s="42" t="n">
        <v>14.79</v>
      </c>
      <c r="G53" s="42" t="n"/>
      <c r="H53" s="44" t="inlineStr">
        <is>
          <t>32,42</t>
        </is>
      </c>
    </row>
    <row r="54" ht="15.75" customHeight="1">
      <c r="A54" s="43" t="n">
        <v>45204</v>
      </c>
      <c r="B54" s="43" t="inlineStr">
        <is>
          <t>Prélèvement</t>
        </is>
      </c>
      <c r="C54" s="42" t="inlineStr">
        <is>
          <t>Joint</t>
        </is>
      </c>
      <c r="D54" s="42" t="inlineStr">
        <is>
          <t>Assurance</t>
        </is>
      </c>
      <c r="E54" s="42" t="inlineStr">
        <is>
          <t>Assurance (X) Twinseo contrat HAR1012515</t>
        </is>
      </c>
      <c r="F54" s="42" t="n">
        <v>14.67</v>
      </c>
      <c r="G54" s="42" t="n"/>
      <c r="H54" s="44" t="inlineStr">
        <is>
          <t>32,44</t>
        </is>
      </c>
    </row>
    <row r="55" ht="15.75" customHeight="1">
      <c r="A55" s="43" t="n">
        <v>45209</v>
      </c>
      <c r="B55" s="43" t="inlineStr">
        <is>
          <t>Prélèvement</t>
        </is>
      </c>
      <c r="C55" s="42" t="inlineStr">
        <is>
          <t>Joint</t>
        </is>
      </c>
      <c r="D55" s="42" t="inlineStr">
        <is>
          <t>Pret</t>
        </is>
      </c>
      <c r="E55" s="42" t="inlineStr">
        <is>
          <t>Echeance 90%</t>
        </is>
      </c>
      <c r="F55" s="42" t="n">
        <v>950.98</v>
      </c>
      <c r="G55" s="42" t="n"/>
      <c r="H55" s="44" t="inlineStr">
        <is>
          <t>32</t>
        </is>
      </c>
    </row>
    <row r="56" ht="15.75" customHeight="1">
      <c r="A56" s="43" t="n">
        <v>45236</v>
      </c>
      <c r="B56" s="43" t="inlineStr">
        <is>
          <t>Prélèvement</t>
        </is>
      </c>
      <c r="C56" s="42" t="inlineStr">
        <is>
          <t>Joint</t>
        </is>
      </c>
      <c r="D56" s="42" t="inlineStr">
        <is>
          <t>Assurance</t>
        </is>
      </c>
      <c r="E56" s="42" t="inlineStr">
        <is>
          <t>Assurance (A) Twinseo contrat HAR1018934</t>
        </is>
      </c>
      <c r="F56" s="42" t="n">
        <v>14.79</v>
      </c>
      <c r="G56" s="42" t="n"/>
      <c r="H56" s="44" t="inlineStr">
        <is>
          <t>33,42</t>
        </is>
      </c>
    </row>
    <row r="57" ht="15.75" customHeight="1">
      <c r="A57" s="43" t="n">
        <v>45236</v>
      </c>
      <c r="B57" s="43" t="inlineStr">
        <is>
          <t>Prélèvement</t>
        </is>
      </c>
      <c r="C57" s="42" t="inlineStr">
        <is>
          <t>Joint</t>
        </is>
      </c>
      <c r="D57" s="42" t="inlineStr">
        <is>
          <t>Assurance</t>
        </is>
      </c>
      <c r="E57" s="42" t="inlineStr">
        <is>
          <t>Assurance (X) Twinseo contrat HAR1012515</t>
        </is>
      </c>
      <c r="F57" s="42" t="n">
        <v>14.67</v>
      </c>
      <c r="G57" s="42" t="n"/>
      <c r="H57" s="44" t="inlineStr">
        <is>
          <t>33,44</t>
        </is>
      </c>
    </row>
    <row r="58" ht="15.75" customHeight="1">
      <c r="A58" s="43" t="n">
        <v>45240</v>
      </c>
      <c r="B58" s="43" t="inlineStr">
        <is>
          <t>Prélèvement</t>
        </is>
      </c>
      <c r="C58" s="42" t="inlineStr">
        <is>
          <t>Joint</t>
        </is>
      </c>
      <c r="D58" s="42" t="inlineStr">
        <is>
          <t>Pret</t>
        </is>
      </c>
      <c r="E58" s="42" t="inlineStr">
        <is>
          <t>Echeance 90%</t>
        </is>
      </c>
      <c r="F58" s="42" t="n">
        <v>950.98</v>
      </c>
      <c r="G58" s="42" t="n"/>
      <c r="H58" s="44" t="inlineStr">
        <is>
          <t>33</t>
        </is>
      </c>
    </row>
    <row r="59" ht="15.75" customHeight="1">
      <c r="A59" s="43" t="n">
        <v>45262</v>
      </c>
      <c r="B59" s="43" t="inlineStr">
        <is>
          <t>Cash</t>
        </is>
      </c>
      <c r="C59" s="42" t="n"/>
      <c r="D59" s="42" t="inlineStr">
        <is>
          <t>Meuble nf</t>
        </is>
      </c>
      <c r="E59" s="42" t="inlineStr">
        <is>
          <t>Range-couvert</t>
        </is>
      </c>
      <c r="F59" s="42" t="n">
        <v>14</v>
      </c>
      <c r="G59" s="42" t="n"/>
      <c r="H59" s="44" t="inlineStr">
        <is>
          <t>64</t>
        </is>
      </c>
    </row>
    <row r="60" ht="15.75" customHeight="1">
      <c r="A60" s="43" t="n">
        <v>45263</v>
      </c>
      <c r="B60" s="43" t="inlineStr">
        <is>
          <t>CB</t>
        </is>
      </c>
      <c r="C60" s="42" t="n"/>
      <c r="D60" s="42" t="inlineStr">
        <is>
          <t>Electromenager</t>
        </is>
      </c>
      <c r="E60" s="42" t="inlineStr">
        <is>
          <t>Table induction</t>
        </is>
      </c>
      <c r="F60" s="42" t="n">
        <v>313.2</v>
      </c>
      <c r="G60" s="42" t="n"/>
      <c r="H60" s="44" t="inlineStr">
        <is>
          <t>46</t>
        </is>
      </c>
    </row>
    <row r="61" ht="15.75" customHeight="1">
      <c r="A61" s="43" t="n">
        <v>45263</v>
      </c>
      <c r="B61" s="43" t="inlineStr">
        <is>
          <t>CB</t>
        </is>
      </c>
      <c r="C61" s="42" t="n"/>
      <c r="D61" s="42" t="inlineStr">
        <is>
          <t>Electromenager</t>
        </is>
      </c>
      <c r="E61" s="42" t="inlineStr">
        <is>
          <t>Four</t>
        </is>
      </c>
      <c r="F61" s="42" t="n">
        <v>342</v>
      </c>
      <c r="G61" s="42" t="n"/>
      <c r="H61" s="44" t="inlineStr">
        <is>
          <t>47</t>
        </is>
      </c>
    </row>
    <row r="62" ht="15.75" customHeight="1">
      <c r="A62" s="43" t="n">
        <v>45265</v>
      </c>
      <c r="B62" s="43" t="inlineStr">
        <is>
          <t>Prélèvement</t>
        </is>
      </c>
      <c r="C62" s="42" t="inlineStr">
        <is>
          <t>Joint</t>
        </is>
      </c>
      <c r="D62" s="42" t="inlineStr">
        <is>
          <t>Assurance</t>
        </is>
      </c>
      <c r="E62" s="42" t="inlineStr">
        <is>
          <t>Assurance (X) Twinseo contrat HAR1012515</t>
        </is>
      </c>
      <c r="F62" s="42" t="n">
        <v>14.67</v>
      </c>
      <c r="G62" s="42" t="n"/>
      <c r="H62" s="44" t="inlineStr">
        <is>
          <t>34,44</t>
        </is>
      </c>
    </row>
    <row r="63" ht="15.75" customHeight="1">
      <c r="A63" s="43" t="n">
        <v>45265</v>
      </c>
      <c r="B63" s="43" t="inlineStr">
        <is>
          <t>Prélèvement</t>
        </is>
      </c>
      <c r="C63" s="42" t="inlineStr">
        <is>
          <t>Joint</t>
        </is>
      </c>
      <c r="D63" s="42" t="inlineStr">
        <is>
          <t>Assurance</t>
        </is>
      </c>
      <c r="E63" s="42" t="inlineStr">
        <is>
          <t>Assurance (A) Twinseo contrat HAR1018934</t>
        </is>
      </c>
      <c r="F63" s="42" t="n">
        <v>14.79</v>
      </c>
      <c r="G63" s="42" t="n"/>
      <c r="H63" s="44" t="inlineStr">
        <is>
          <t>34,42</t>
        </is>
      </c>
    </row>
    <row r="64" ht="15.75" customHeight="1">
      <c r="A64" s="43" t="n">
        <v>45271</v>
      </c>
      <c r="B64" s="43" t="inlineStr">
        <is>
          <t>Prélèvement</t>
        </is>
      </c>
      <c r="C64" s="42" t="inlineStr">
        <is>
          <t>Joint</t>
        </is>
      </c>
      <c r="D64" s="42" t="inlineStr">
        <is>
          <t>Pret</t>
        </is>
      </c>
      <c r="E64" s="42" t="inlineStr">
        <is>
          <t>Echeance 90%</t>
        </is>
      </c>
      <c r="F64" s="42" t="n">
        <v>950.98</v>
      </c>
      <c r="G64" s="42" t="n"/>
      <c r="H64" s="44" t="inlineStr">
        <is>
          <t>34</t>
        </is>
      </c>
    </row>
    <row r="65" ht="15.75" customHeight="1">
      <c r="A65" s="43" t="n">
        <v>45271</v>
      </c>
      <c r="B65" s="43" t="inlineStr">
        <is>
          <t>Cash</t>
        </is>
      </c>
      <c r="C65" s="42" t="n"/>
      <c r="D65" s="42" t="inlineStr">
        <is>
          <t>Meuble</t>
        </is>
      </c>
      <c r="E65" s="42" t="inlineStr">
        <is>
          <t>Miroir</t>
        </is>
      </c>
      <c r="F65" s="42" t="n">
        <v>20</v>
      </c>
      <c r="G65" s="42" t="n"/>
      <c r="H65" s="44" t="inlineStr">
        <is>
          <t>65</t>
        </is>
      </c>
    </row>
    <row r="66" ht="15.75" customHeight="1">
      <c r="A66" s="43" t="n">
        <v>45276</v>
      </c>
      <c r="B66" s="43" t="inlineStr">
        <is>
          <t>Cash</t>
        </is>
      </c>
      <c r="C66" s="42" t="n"/>
      <c r="D66" s="42" t="inlineStr">
        <is>
          <t>Meuble nf</t>
        </is>
      </c>
      <c r="E66" s="42" t="inlineStr">
        <is>
          <t>Luminaire</t>
        </is>
      </c>
      <c r="F66" s="42" t="n">
        <v>47.99</v>
      </c>
      <c r="G66" s="42" t="n"/>
      <c r="H66" s="44" t="inlineStr">
        <is>
          <t>67</t>
        </is>
      </c>
    </row>
    <row r="67" ht="15.75" customHeight="1">
      <c r="A67" s="43" t="n">
        <v>45276</v>
      </c>
      <c r="B67" s="43" t="inlineStr">
        <is>
          <t>Cash</t>
        </is>
      </c>
      <c r="C67" s="42" t="n"/>
      <c r="D67" s="42" t="inlineStr">
        <is>
          <t>Meuble</t>
        </is>
      </c>
      <c r="E67" s="42" t="inlineStr">
        <is>
          <t>Miroir</t>
        </is>
      </c>
      <c r="F67" s="42" t="n">
        <v>24.8</v>
      </c>
      <c r="G67" s="42" t="n"/>
      <c r="H67" s="44" t="inlineStr">
        <is>
          <t>66</t>
        </is>
      </c>
    </row>
    <row r="68" ht="15.75" customHeight="1">
      <c r="A68" s="43" t="n">
        <v>45277</v>
      </c>
      <c r="B68" s="43" t="inlineStr">
        <is>
          <t>Cash</t>
        </is>
      </c>
      <c r="C68" s="42" t="n"/>
      <c r="D68" s="42" t="inlineStr">
        <is>
          <t>Meuble</t>
        </is>
      </c>
      <c r="E68" s="42" t="inlineStr">
        <is>
          <t>Matelas</t>
        </is>
      </c>
      <c r="F68" s="42" t="n">
        <v>215.2</v>
      </c>
      <c r="G68" s="42" t="n"/>
      <c r="H68" s="44" t="inlineStr">
        <is>
          <t>68</t>
        </is>
      </c>
    </row>
    <row r="69" ht="15.75" customHeight="1">
      <c r="A69" s="43" t="n">
        <v>45297</v>
      </c>
      <c r="B69" s="43" t="inlineStr">
        <is>
          <t>Prélèvement</t>
        </is>
      </c>
      <c r="C69" s="42" t="inlineStr">
        <is>
          <t>Joint</t>
        </is>
      </c>
      <c r="D69" s="42" t="inlineStr">
        <is>
          <t>Assurance</t>
        </is>
      </c>
      <c r="E69" s="42" t="inlineStr">
        <is>
          <t>Assurance (X) Twinseo contrat HAR1012515</t>
        </is>
      </c>
      <c r="F69" s="42" t="n">
        <v>14.21</v>
      </c>
      <c r="G69" s="42" t="n"/>
      <c r="H69" s="44" t="inlineStr">
        <is>
          <t>35,45</t>
        </is>
      </c>
    </row>
    <row r="70" ht="15.75" customHeight="1">
      <c r="A70" s="43" t="n">
        <v>45297</v>
      </c>
      <c r="B70" s="43" t="inlineStr">
        <is>
          <t>Prélèvement</t>
        </is>
      </c>
      <c r="C70" s="42" t="inlineStr">
        <is>
          <t>Joint</t>
        </is>
      </c>
      <c r="D70" s="42" t="inlineStr">
        <is>
          <t>Assurance</t>
        </is>
      </c>
      <c r="E70" s="42" t="inlineStr">
        <is>
          <t>Assurance (A) Twinseo contrat HAR1018934</t>
        </is>
      </c>
      <c r="F70" s="42" t="n">
        <v>14.79</v>
      </c>
      <c r="G70" s="42" t="n"/>
      <c r="H70" s="44" t="inlineStr">
        <is>
          <t>35,43</t>
        </is>
      </c>
    </row>
    <row r="71" ht="15.75" customHeight="1">
      <c r="A71" s="43" t="n">
        <v>45301</v>
      </c>
      <c r="B71" s="42" t="inlineStr">
        <is>
          <t>Cash</t>
        </is>
      </c>
      <c r="C71" s="42" t="n"/>
      <c r="D71" s="42" t="inlineStr">
        <is>
          <t>Meuble nf</t>
        </is>
      </c>
      <c r="E71" s="42" t="inlineStr">
        <is>
          <t>9900240001500053100124 Assiette</t>
        </is>
      </c>
      <c r="F71" s="42" t="n">
        <v>2</v>
      </c>
      <c r="G71" s="42" t="n"/>
      <c r="H71" s="44" t="inlineStr">
        <is>
          <t>69</t>
        </is>
      </c>
    </row>
    <row r="72" ht="15.75" customHeight="1">
      <c r="A72" s="43" t="n">
        <v>45301</v>
      </c>
      <c r="B72" s="42" t="inlineStr">
        <is>
          <t>Cash</t>
        </is>
      </c>
      <c r="C72" s="42" t="n"/>
      <c r="D72" s="42" t="inlineStr">
        <is>
          <t>Meuble nf</t>
        </is>
      </c>
      <c r="E72" s="42" t="inlineStr">
        <is>
          <t>9900240001500053100124 Planche</t>
        </is>
      </c>
      <c r="F72" s="42" t="n">
        <v>2.5</v>
      </c>
      <c r="G72" s="42" t="n"/>
      <c r="H72" s="44" t="inlineStr">
        <is>
          <t>69</t>
        </is>
      </c>
    </row>
    <row r="73">
      <c r="A73" s="43" t="n">
        <v>45301</v>
      </c>
      <c r="B73" s="42" t="inlineStr">
        <is>
          <t>Cash</t>
        </is>
      </c>
      <c r="C73" s="42" t="n"/>
      <c r="D73" s="42" t="inlineStr">
        <is>
          <t>Meuble nf</t>
        </is>
      </c>
      <c r="E73" s="42" t="inlineStr">
        <is>
          <t>9900240001500053100124 Set table</t>
        </is>
      </c>
      <c r="F73" s="42" t="n">
        <v>3</v>
      </c>
      <c r="G73" s="42" t="n"/>
      <c r="H73" s="44" t="inlineStr">
        <is>
          <t>69</t>
        </is>
      </c>
    </row>
    <row r="74" ht="15.75" customHeight="1">
      <c r="A74" s="43" t="n">
        <v>45301</v>
      </c>
      <c r="B74" s="42" t="inlineStr">
        <is>
          <t>Cash</t>
        </is>
      </c>
      <c r="C74" s="42" t="n"/>
      <c r="D74" s="42" t="inlineStr">
        <is>
          <t>Meuble nf</t>
        </is>
      </c>
      <c r="E74" s="42" t="inlineStr">
        <is>
          <t>9900240001500053100124 Planche</t>
        </is>
      </c>
      <c r="F74" s="42" t="n">
        <v>6.99</v>
      </c>
      <c r="G74" s="42" t="n"/>
      <c r="H74" s="44" t="inlineStr">
        <is>
          <t>69</t>
        </is>
      </c>
    </row>
    <row r="75" ht="15.75" customHeight="1">
      <c r="A75" s="43" t="n">
        <v>45301</v>
      </c>
      <c r="B75" s="42" t="inlineStr">
        <is>
          <t>Cash</t>
        </is>
      </c>
      <c r="C75" s="42" t="n"/>
      <c r="D75" s="42" t="inlineStr">
        <is>
          <t>Meuble nf</t>
        </is>
      </c>
      <c r="E75" s="42" t="inlineStr">
        <is>
          <t>9900240001500053100124 Accessoire SDB</t>
        </is>
      </c>
      <c r="F75" s="42" t="n">
        <v>12</v>
      </c>
      <c r="G75" s="42" t="n"/>
      <c r="H75" s="44" t="inlineStr">
        <is>
          <t>69</t>
        </is>
      </c>
    </row>
    <row r="76" ht="15.75" customHeight="1">
      <c r="A76" s="43" t="n">
        <v>45301</v>
      </c>
      <c r="B76" s="43" t="inlineStr">
        <is>
          <t>Prélèvement</t>
        </is>
      </c>
      <c r="C76" s="42" t="inlineStr">
        <is>
          <t>Joint</t>
        </is>
      </c>
      <c r="D76" s="42" t="inlineStr">
        <is>
          <t>Pret</t>
        </is>
      </c>
      <c r="E76" s="42" t="inlineStr">
        <is>
          <t>Echeance 90%</t>
        </is>
      </c>
      <c r="F76" s="42" t="n">
        <v>950.98</v>
      </c>
      <c r="G76" s="42" t="n"/>
      <c r="H76" s="44" t="inlineStr">
        <is>
          <t>35</t>
        </is>
      </c>
    </row>
    <row r="77" ht="15.75" customHeight="1">
      <c r="A77" s="43" t="n">
        <v>45305</v>
      </c>
      <c r="B77" s="42" t="inlineStr">
        <is>
          <t>Cash</t>
        </is>
      </c>
      <c r="C77" s="42" t="n"/>
      <c r="D77" s="42" t="inlineStr">
        <is>
          <t>Meuble nf</t>
        </is>
      </c>
      <c r="E77" s="42" t="inlineStr">
        <is>
          <t>9900240001400129140124 Wok</t>
        </is>
      </c>
      <c r="F77" s="42" t="n">
        <v>19.99</v>
      </c>
      <c r="G77" s="42" t="n"/>
      <c r="H77" s="44" t="inlineStr">
        <is>
          <t>70</t>
        </is>
      </c>
    </row>
    <row r="78" ht="15.75" customHeight="1">
      <c r="A78" s="43" t="n">
        <v>45308</v>
      </c>
      <c r="B78" s="42" t="inlineStr">
        <is>
          <t>Cash</t>
        </is>
      </c>
      <c r="C78" s="42" t="n"/>
      <c r="D78" s="42" t="inlineStr">
        <is>
          <t>Meuble</t>
        </is>
      </c>
      <c r="E78" s="42" t="inlineStr">
        <is>
          <t>9900240001500052170124 Accessoire WC</t>
        </is>
      </c>
      <c r="F78" s="42" t="n">
        <v>6</v>
      </c>
      <c r="G78" s="42" t="n"/>
      <c r="H78" s="44" t="inlineStr">
        <is>
          <t>72</t>
        </is>
      </c>
    </row>
    <row r="79" ht="15.75" customHeight="1">
      <c r="A79" s="43" t="n">
        <v>45309</v>
      </c>
      <c r="B79" s="42" t="inlineStr">
        <is>
          <t>Cash</t>
        </is>
      </c>
      <c r="C79" s="42" t="n"/>
      <c r="D79" s="42" t="inlineStr">
        <is>
          <t>Meuble</t>
        </is>
      </c>
      <c r="E79" s="42" t="inlineStr">
        <is>
          <t>9900131003000014180124 Sommier 1 personne</t>
        </is>
      </c>
      <c r="F79" s="42" t="n">
        <v>39</v>
      </c>
      <c r="G79" s="42" t="n"/>
      <c r="H79" s="44" t="inlineStr">
        <is>
          <t>73</t>
        </is>
      </c>
    </row>
    <row r="80" ht="15.75" customHeight="1">
      <c r="A80" s="43" t="n">
        <v>45311</v>
      </c>
      <c r="B80" s="42" t="inlineStr">
        <is>
          <t>Cash</t>
        </is>
      </c>
      <c r="C80" s="42" t="n"/>
      <c r="D80" s="42" t="inlineStr">
        <is>
          <t>Meuble</t>
        </is>
      </c>
      <c r="E80" s="42" t="inlineStr">
        <is>
          <t>9900580005200062200124 Plafonier</t>
        </is>
      </c>
      <c r="F80" s="42" t="n">
        <v>23.5</v>
      </c>
      <c r="G80" s="42" t="n"/>
      <c r="H80" s="44" t="inlineStr">
        <is>
          <t>74</t>
        </is>
      </c>
    </row>
    <row r="81" ht="15.75" customHeight="1">
      <c r="A81" s="43" t="n">
        <v>45311</v>
      </c>
      <c r="B81" s="42" t="inlineStr">
        <is>
          <t>Cash</t>
        </is>
      </c>
      <c r="C81" s="42" t="n"/>
      <c r="D81" s="42" t="inlineStr">
        <is>
          <t>Meuble</t>
        </is>
      </c>
      <c r="E81" s="42" t="inlineStr">
        <is>
          <t>9900580005200062200124 Tapis entrée</t>
        </is>
      </c>
      <c r="F81" s="42" t="n">
        <v>27.58</v>
      </c>
      <c r="G81" s="42" t="n"/>
      <c r="H81" s="44" t="inlineStr">
        <is>
          <t>74</t>
        </is>
      </c>
    </row>
    <row r="82" ht="15.75" customHeight="1">
      <c r="A82" s="43" t="n">
        <v>45314</v>
      </c>
      <c r="B82" s="42" t="inlineStr">
        <is>
          <t>Cash</t>
        </is>
      </c>
      <c r="C82" s="42" t="n"/>
      <c r="D82" s="42" t="inlineStr">
        <is>
          <t>Meuble</t>
        </is>
      </c>
      <c r="E82" s="42" t="inlineStr">
        <is>
          <t>9900240001600033230124 Chiffons</t>
        </is>
      </c>
      <c r="F82" s="42" t="n">
        <v>1.99</v>
      </c>
      <c r="G82" s="42" t="n"/>
      <c r="H82" s="44" t="inlineStr">
        <is>
          <t>75</t>
        </is>
      </c>
    </row>
    <row r="83" ht="15.75" customHeight="1">
      <c r="A83" s="43" t="n">
        <v>45314</v>
      </c>
      <c r="B83" s="42" t="inlineStr">
        <is>
          <t>Cash</t>
        </is>
      </c>
      <c r="C83" s="42" t="n"/>
      <c r="D83" s="42" t="inlineStr">
        <is>
          <t>Meuble</t>
        </is>
      </c>
      <c r="E83" s="42" t="inlineStr">
        <is>
          <t>9900240001600033230124 Table a manger</t>
        </is>
      </c>
      <c r="F83" s="42" t="n">
        <v>99.5</v>
      </c>
      <c r="G83" s="42" t="n"/>
      <c r="H83" s="44" t="inlineStr">
        <is>
          <t>75</t>
        </is>
      </c>
    </row>
    <row r="84" ht="15.75" customHeight="1">
      <c r="A84" s="43" t="n">
        <v>45315</v>
      </c>
      <c r="B84" s="42" t="inlineStr">
        <is>
          <t>Cash</t>
        </is>
      </c>
      <c r="C84" s="42" t="n"/>
      <c r="D84" s="42" t="inlineStr">
        <is>
          <t>Meuble</t>
        </is>
      </c>
      <c r="E84" s="42" t="inlineStr">
        <is>
          <t>9900240001400047270124 Meuble cuisine</t>
        </is>
      </c>
      <c r="F84" s="42" t="n">
        <v>15</v>
      </c>
      <c r="G84" s="42" t="n"/>
      <c r="H84" s="44" t="inlineStr">
        <is>
          <t>76</t>
        </is>
      </c>
    </row>
    <row r="85" ht="15.75" customHeight="1">
      <c r="A85" s="43" t="n">
        <v>45318</v>
      </c>
      <c r="B85" s="42" t="inlineStr">
        <is>
          <t>Cash</t>
        </is>
      </c>
      <c r="C85" s="42" t="n"/>
      <c r="D85" s="42" t="inlineStr">
        <is>
          <t>Meuble</t>
        </is>
      </c>
      <c r="E85" s="42" t="inlineStr">
        <is>
          <t>9900131003000100270124 Meuble cuisine</t>
        </is>
      </c>
      <c r="F85" s="42" t="n">
        <v>19.8</v>
      </c>
      <c r="G85" s="42" t="n"/>
      <c r="H85" s="44" t="inlineStr">
        <is>
          <t>77</t>
        </is>
      </c>
    </row>
    <row r="86" ht="15.75" customHeight="1">
      <c r="A86" s="43" t="n">
        <v>45318</v>
      </c>
      <c r="B86" s="42" t="inlineStr">
        <is>
          <t>Cash</t>
        </is>
      </c>
      <c r="C86" s="42" t="n"/>
      <c r="D86" s="42" t="inlineStr">
        <is>
          <t>Meuble</t>
        </is>
      </c>
      <c r="E86" s="42" t="inlineStr">
        <is>
          <t>9900131003000100270124 Plateau meuble TV</t>
        </is>
      </c>
      <c r="F86" s="42" t="n">
        <v>22.5</v>
      </c>
      <c r="G86" s="42" t="n"/>
      <c r="H86" s="44" t="inlineStr">
        <is>
          <t>77</t>
        </is>
      </c>
    </row>
    <row r="87">
      <c r="A87" s="43" t="n">
        <v>45318</v>
      </c>
      <c r="B87" s="42" t="inlineStr">
        <is>
          <t>Cash</t>
        </is>
      </c>
      <c r="C87" s="42" t="n"/>
      <c r="D87" s="42" t="inlineStr">
        <is>
          <t>Meuble</t>
        </is>
      </c>
      <c r="E87" s="42" t="inlineStr">
        <is>
          <t>9900131003000100270124 Sommier 1 personne</t>
        </is>
      </c>
      <c r="F87" s="42" t="n">
        <v>39</v>
      </c>
      <c r="G87" s="42" t="n"/>
      <c r="H87" s="44" t="inlineStr">
        <is>
          <t>77</t>
        </is>
      </c>
    </row>
    <row r="88">
      <c r="A88" s="43" t="n">
        <v>45319</v>
      </c>
      <c r="B88" s="42" t="inlineStr">
        <is>
          <t>Cash</t>
        </is>
      </c>
      <c r="C88" s="42" t="n"/>
      <c r="D88" s="42" t="inlineStr">
        <is>
          <t>Meuble</t>
        </is>
      </c>
      <c r="E88" s="42" t="inlineStr">
        <is>
          <t>9900240001900080280124 Porte meuble cuisine</t>
        </is>
      </c>
      <c r="F88" s="42" t="n">
        <v>5</v>
      </c>
      <c r="G88" s="42" t="n"/>
      <c r="H88" s="44" t="inlineStr">
        <is>
          <t>78</t>
        </is>
      </c>
    </row>
    <row r="89" ht="15.75" customHeight="1">
      <c r="A89" s="43" t="n">
        <v>45319</v>
      </c>
      <c r="B89" s="42" t="inlineStr">
        <is>
          <t>Cash</t>
        </is>
      </c>
      <c r="C89" s="42" t="n"/>
      <c r="D89" s="42" t="inlineStr">
        <is>
          <t>Meuble</t>
        </is>
      </c>
      <c r="E89" s="42" t="inlineStr">
        <is>
          <t>9900240001900080280124 Porte meuble cuisine</t>
        </is>
      </c>
      <c r="F89" s="42" t="n">
        <v>12</v>
      </c>
      <c r="G89" s="42" t="n"/>
      <c r="H89" s="44" t="inlineStr">
        <is>
          <t>78</t>
        </is>
      </c>
    </row>
    <row r="90" ht="15.75" customHeight="1">
      <c r="A90" s="43" t="n">
        <v>45319</v>
      </c>
      <c r="B90" s="42" t="inlineStr">
        <is>
          <t>Cash</t>
        </is>
      </c>
      <c r="C90" s="42" t="n"/>
      <c r="D90" s="42" t="inlineStr">
        <is>
          <t>Meuble</t>
        </is>
      </c>
      <c r="E90" s="42" t="inlineStr">
        <is>
          <t>9900240001900080280124 Porte meuble cuisine</t>
        </is>
      </c>
      <c r="F90" s="42" t="n">
        <v>15</v>
      </c>
      <c r="G90" s="42" t="n"/>
      <c r="H90" s="44" t="inlineStr">
        <is>
          <t>78</t>
        </is>
      </c>
    </row>
    <row r="91" ht="15.75" customHeight="1">
      <c r="A91" s="43" t="n">
        <v>45319</v>
      </c>
      <c r="B91" s="42" t="inlineStr">
        <is>
          <t>Cash</t>
        </is>
      </c>
      <c r="C91" s="42" t="n"/>
      <c r="D91" s="42" t="inlineStr">
        <is>
          <t>Meuble</t>
        </is>
      </c>
      <c r="E91" s="42" t="inlineStr">
        <is>
          <t>9900240001900080280124 Porte meuble cuisine</t>
        </is>
      </c>
      <c r="F91" s="42" t="n">
        <v>15</v>
      </c>
      <c r="G91" s="42" t="n"/>
      <c r="H91" s="44" t="inlineStr">
        <is>
          <t>78</t>
        </is>
      </c>
    </row>
    <row r="92" ht="15.75" customHeight="1">
      <c r="A92" s="43" t="n">
        <v>45320</v>
      </c>
      <c r="B92" s="42" t="inlineStr">
        <is>
          <t>Cash</t>
        </is>
      </c>
      <c r="C92" s="42" t="n"/>
      <c r="D92" s="42" t="inlineStr">
        <is>
          <t>Meuble nf</t>
        </is>
      </c>
      <c r="E92" s="42" t="inlineStr">
        <is>
          <t>9900389002000012290124 Plinthe meuble cuisine</t>
        </is>
      </c>
      <c r="F92" s="42" t="n">
        <v>19.6</v>
      </c>
      <c r="G92" s="42" t="n"/>
      <c r="H92" s="44" t="inlineStr">
        <is>
          <t>79</t>
        </is>
      </c>
    </row>
    <row r="93" ht="15.75" customHeight="1">
      <c r="A93" s="43" t="n">
        <v>45322</v>
      </c>
      <c r="B93" s="42" t="inlineStr">
        <is>
          <t>Cash</t>
        </is>
      </c>
      <c r="C93" s="42" t="n"/>
      <c r="D93" s="42" t="inlineStr">
        <is>
          <t>Meuble nf</t>
        </is>
      </c>
      <c r="E93" s="42" t="inlineStr">
        <is>
          <t>9900240001400021310124 Baguette lumiere cuisine</t>
        </is>
      </c>
      <c r="F93" s="42" t="n">
        <v>12</v>
      </c>
      <c r="G93" s="42" t="n"/>
      <c r="H93" s="44" t="inlineStr">
        <is>
          <t>80</t>
        </is>
      </c>
    </row>
    <row r="94" ht="15.75" customHeight="1">
      <c r="A94" s="43" t="n">
        <v>45322</v>
      </c>
      <c r="B94" s="42" t="inlineStr">
        <is>
          <t>Cash</t>
        </is>
      </c>
      <c r="C94" s="42" t="n"/>
      <c r="D94" s="42" t="inlineStr">
        <is>
          <t>Meuble nf</t>
        </is>
      </c>
      <c r="E94" s="42" t="inlineStr">
        <is>
          <t>9900240001400021310124 Tiroir meuble cuisine</t>
        </is>
      </c>
      <c r="F94" s="42" t="n">
        <v>23</v>
      </c>
      <c r="G94" s="42" t="n"/>
      <c r="H94" s="44" t="inlineStr">
        <is>
          <t>80</t>
        </is>
      </c>
    </row>
    <row r="95" ht="15.75" customHeight="1">
      <c r="A95" s="43" t="n">
        <v>45322</v>
      </c>
      <c r="B95" s="42" t="inlineStr">
        <is>
          <t>Cash</t>
        </is>
      </c>
      <c r="C95" s="42" t="n"/>
      <c r="D95" s="42" t="inlineStr">
        <is>
          <t>Meuble nf</t>
        </is>
      </c>
      <c r="E95" s="42" t="inlineStr">
        <is>
          <t>9900240001400021310124 Tiroir meuble cuisine</t>
        </is>
      </c>
      <c r="F95" s="42" t="n">
        <v>23</v>
      </c>
      <c r="G95" s="42" t="n"/>
      <c r="H95" s="44" t="inlineStr">
        <is>
          <t>80</t>
        </is>
      </c>
    </row>
    <row r="96" ht="15.75" customHeight="1">
      <c r="A96" s="43" t="n">
        <v>45322</v>
      </c>
      <c r="B96" s="42" t="inlineStr">
        <is>
          <t>Cash</t>
        </is>
      </c>
      <c r="C96" s="42" t="n"/>
      <c r="D96" s="42" t="inlineStr">
        <is>
          <t>Meuble nf</t>
        </is>
      </c>
      <c r="E96" s="42" t="inlineStr">
        <is>
          <t>9900240001400021310124 Tiroir meuble cuisine</t>
        </is>
      </c>
      <c r="F96" s="42" t="n">
        <v>36</v>
      </c>
      <c r="G96" s="42" t="n"/>
      <c r="H96" s="44" t="inlineStr">
        <is>
          <t>80</t>
        </is>
      </c>
    </row>
    <row r="97" ht="15.75" customHeight="1">
      <c r="A97" s="43" t="n">
        <v>45324</v>
      </c>
      <c r="B97" s="42" t="inlineStr">
        <is>
          <t>Cash</t>
        </is>
      </c>
      <c r="C97" s="42" t="n"/>
      <c r="D97" s="42" t="inlineStr">
        <is>
          <t>Meuble nf</t>
        </is>
      </c>
      <c r="E97" s="42" t="inlineStr">
        <is>
          <t>9900240001800055020224 Tapis salon</t>
        </is>
      </c>
      <c r="F97" s="42" t="n">
        <v>107.4</v>
      </c>
      <c r="G97" s="42" t="n"/>
      <c r="H97" s="44" t="inlineStr">
        <is>
          <t>81</t>
        </is>
      </c>
    </row>
    <row r="98" ht="15.75" customHeight="1">
      <c r="A98" s="43" t="n">
        <v>45324</v>
      </c>
      <c r="B98" s="42" t="inlineStr">
        <is>
          <t>Cash</t>
        </is>
      </c>
      <c r="C98" s="42" t="n"/>
      <c r="D98" s="42" t="inlineStr">
        <is>
          <t>Meuble nf</t>
        </is>
      </c>
      <c r="E98" s="42" t="inlineStr">
        <is>
          <t>9900240001800055020224 Housse couette</t>
        </is>
      </c>
      <c r="F98" s="42" t="n">
        <v>29.99</v>
      </c>
      <c r="G98" s="42" t="n"/>
      <c r="H98" s="44" t="inlineStr">
        <is>
          <t>81</t>
        </is>
      </c>
    </row>
    <row r="99" ht="15.75" customHeight="1">
      <c r="A99" s="43" t="n">
        <v>45324</v>
      </c>
      <c r="B99" s="42" t="inlineStr">
        <is>
          <t>Cash</t>
        </is>
      </c>
      <c r="C99" s="42" t="n"/>
      <c r="D99" s="42" t="inlineStr">
        <is>
          <t>Meuble nf</t>
        </is>
      </c>
      <c r="E99" s="42" t="inlineStr">
        <is>
          <t>9900240001800055020224 Tapis chambre</t>
        </is>
      </c>
      <c r="F99" s="42" t="n">
        <v>27</v>
      </c>
      <c r="G99" s="42" t="n"/>
      <c r="H99" s="44" t="inlineStr">
        <is>
          <t>81</t>
        </is>
      </c>
    </row>
    <row r="100" ht="15.75" customHeight="1">
      <c r="A100" s="43" t="n">
        <v>45325</v>
      </c>
      <c r="B100" s="42" t="inlineStr">
        <is>
          <t>Cash</t>
        </is>
      </c>
      <c r="C100" s="42" t="n"/>
      <c r="D100" s="42" t="inlineStr">
        <is>
          <t>Meuble</t>
        </is>
      </c>
      <c r="E100" s="42" t="inlineStr">
        <is>
          <t>9900432002500143030224 Porte meuble cuisine</t>
        </is>
      </c>
      <c r="F100" s="42" t="n">
        <v>10</v>
      </c>
      <c r="G100" s="42" t="n"/>
      <c r="H100" s="44" t="inlineStr">
        <is>
          <t>82</t>
        </is>
      </c>
    </row>
    <row r="101" ht="15.75" customHeight="1">
      <c r="A101" s="43" t="n">
        <v>45325</v>
      </c>
      <c r="B101" s="42" t="inlineStr">
        <is>
          <t>Cash</t>
        </is>
      </c>
      <c r="C101" s="42" t="n"/>
      <c r="D101" s="42" t="inlineStr">
        <is>
          <t>Meuble</t>
        </is>
      </c>
      <c r="E101" s="42" t="inlineStr">
        <is>
          <t>9900432002500143030224 Porte meuble cuisine</t>
        </is>
      </c>
      <c r="F101" s="42" t="n">
        <v>15</v>
      </c>
      <c r="G101" s="42" t="n"/>
      <c r="H101" s="44" t="inlineStr">
        <is>
          <t>82</t>
        </is>
      </c>
    </row>
    <row r="102" ht="15.75" customHeight="1">
      <c r="A102" s="45" t="n">
        <v>45326</v>
      </c>
      <c r="B102" s="42" t="inlineStr">
        <is>
          <t>Cash</t>
        </is>
      </c>
      <c r="C102" s="42" t="n"/>
      <c r="D102" s="42" t="inlineStr">
        <is>
          <t>Meuble</t>
        </is>
      </c>
      <c r="E102" s="42" t="inlineStr">
        <is>
          <t>9900285010800043040224 Chaises</t>
        </is>
      </c>
      <c r="F102" s="46" t="n">
        <v>71.98</v>
      </c>
      <c r="G102" s="42" t="n"/>
      <c r="H102" s="44" t="inlineStr">
        <is>
          <t>84</t>
        </is>
      </c>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c r="A103" s="43" t="n">
        <v>45326</v>
      </c>
      <c r="B103" s="42" t="inlineStr">
        <is>
          <t>Cash</t>
        </is>
      </c>
      <c r="C103" s="42" t="n"/>
      <c r="D103" s="42" t="inlineStr">
        <is>
          <t>Meuble</t>
        </is>
      </c>
      <c r="E103" s="42" t="inlineStr">
        <is>
          <t>9900285010800043040224 Voilage</t>
        </is>
      </c>
      <c r="F103" s="42" t="n">
        <v>10.34</v>
      </c>
      <c r="G103" s="42" t="n"/>
      <c r="H103" s="44" t="inlineStr">
        <is>
          <t>84</t>
        </is>
      </c>
    </row>
    <row r="104" ht="15.75" customHeight="1">
      <c r="A104" s="43" t="n">
        <v>45326</v>
      </c>
      <c r="B104" s="42" t="inlineStr">
        <is>
          <t>Cash</t>
        </is>
      </c>
      <c r="C104" s="42" t="n"/>
      <c r="D104" s="42" t="inlineStr">
        <is>
          <t>Meuble</t>
        </is>
      </c>
      <c r="E104" s="42" t="inlineStr">
        <is>
          <t>9900285010800043040224 Meuble cuisine</t>
        </is>
      </c>
      <c r="F104" s="42" t="n">
        <v>12.6</v>
      </c>
      <c r="G104" s="42" t="n"/>
      <c r="H104" s="44" t="inlineStr">
        <is>
          <t>84</t>
        </is>
      </c>
    </row>
    <row r="105" ht="15.75" customHeight="1">
      <c r="A105" s="43" t="n">
        <v>45326</v>
      </c>
      <c r="B105" s="42" t="inlineStr">
        <is>
          <t>Cash</t>
        </is>
      </c>
      <c r="C105" s="42" t="n"/>
      <c r="D105" s="42" t="inlineStr">
        <is>
          <t>Meuble</t>
        </is>
      </c>
      <c r="E105" s="42" t="inlineStr">
        <is>
          <t>9900240001500059040224 Meuble cuisine</t>
        </is>
      </c>
      <c r="F105" s="42" t="n">
        <v>42</v>
      </c>
      <c r="G105" s="42" t="n"/>
      <c r="H105" s="44" t="inlineStr">
        <is>
          <t>83</t>
        </is>
      </c>
    </row>
    <row r="106" ht="15.75" customHeight="1">
      <c r="A106" s="43" t="n">
        <v>45326</v>
      </c>
      <c r="B106" s="42" t="inlineStr">
        <is>
          <t>Cash</t>
        </is>
      </c>
      <c r="C106" s="42" t="n"/>
      <c r="D106" s="42" t="inlineStr">
        <is>
          <t>Meuble</t>
        </is>
      </c>
      <c r="E106" s="42" t="inlineStr">
        <is>
          <t>9900240001500059040224 Voilage</t>
        </is>
      </c>
      <c r="F106" s="42" t="n">
        <v>14</v>
      </c>
      <c r="G106" s="42" t="n"/>
      <c r="H106" s="44" t="inlineStr">
        <is>
          <t>83</t>
        </is>
      </c>
    </row>
    <row r="107" ht="15.75" customHeight="1">
      <c r="A107" s="43" t="n">
        <v>45327</v>
      </c>
      <c r="B107" s="43" t="inlineStr">
        <is>
          <t>Prélèvement</t>
        </is>
      </c>
      <c r="C107" s="42" t="inlineStr">
        <is>
          <t>Joint</t>
        </is>
      </c>
      <c r="D107" s="42" t="inlineStr">
        <is>
          <t>Assurance</t>
        </is>
      </c>
      <c r="E107" s="42" t="inlineStr">
        <is>
          <t>Assurance (X) Twinseo contrat HAR1012515</t>
        </is>
      </c>
      <c r="F107" s="42" t="n">
        <v>14.21</v>
      </c>
      <c r="G107" s="42" t="n"/>
      <c r="H107" s="44" t="inlineStr">
        <is>
          <t>36,45</t>
        </is>
      </c>
    </row>
    <row r="108" ht="15.75" customHeight="1">
      <c r="A108" s="43" t="n">
        <v>45327</v>
      </c>
      <c r="B108" s="43" t="inlineStr">
        <is>
          <t>Prélèvement</t>
        </is>
      </c>
      <c r="C108" s="42" t="inlineStr">
        <is>
          <t>Joint</t>
        </is>
      </c>
      <c r="D108" s="42" t="inlineStr">
        <is>
          <t>Assurance</t>
        </is>
      </c>
      <c r="E108" s="42" t="inlineStr">
        <is>
          <t>Assurance (A) Twinseo contrat HAR1018934</t>
        </is>
      </c>
      <c r="F108" s="42" t="n">
        <v>14.79</v>
      </c>
      <c r="G108" s="42" t="n"/>
      <c r="H108" s="44" t="inlineStr">
        <is>
          <t>36,43</t>
        </is>
      </c>
    </row>
    <row r="109" ht="15.75" customHeight="1">
      <c r="A109" s="45" t="n">
        <v>45329</v>
      </c>
      <c r="B109" s="43" t="inlineStr">
        <is>
          <t>Cash</t>
        </is>
      </c>
      <c r="C109" s="42" t="n"/>
      <c r="D109" s="42" t="inlineStr">
        <is>
          <t>Meuble</t>
        </is>
      </c>
      <c r="E109" s="42" t="inlineStr">
        <is>
          <t>9900240001800047070224 Baguette lumiere cuisine</t>
        </is>
      </c>
      <c r="F109" s="46" t="n">
        <v>12</v>
      </c>
      <c r="G109" s="42" t="n"/>
      <c r="H109" s="44" t="inlineStr">
        <is>
          <t>86</t>
        </is>
      </c>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c r="A110" s="43" t="n">
        <v>45334</v>
      </c>
      <c r="B110" s="43" t="inlineStr">
        <is>
          <t>Prélèvement</t>
        </is>
      </c>
      <c r="C110" s="42" t="inlineStr">
        <is>
          <t>Joint</t>
        </is>
      </c>
      <c r="D110" s="42" t="inlineStr">
        <is>
          <t>Pret</t>
        </is>
      </c>
      <c r="E110" s="42" t="inlineStr">
        <is>
          <t>Echeance 90%</t>
        </is>
      </c>
      <c r="F110" s="42" t="n">
        <v>950.98</v>
      </c>
      <c r="G110" s="42" t="n"/>
      <c r="H110" s="44" t="inlineStr">
        <is>
          <t>36</t>
        </is>
      </c>
    </row>
    <row r="111" ht="15.75" customHeight="1">
      <c r="A111" s="43" t="n">
        <v>45334</v>
      </c>
      <c r="B111" s="42" t="inlineStr">
        <is>
          <t>Cash</t>
        </is>
      </c>
      <c r="C111" s="42" t="n"/>
      <c r="D111" s="42" t="inlineStr">
        <is>
          <t>Meuble</t>
        </is>
      </c>
      <c r="E111" s="42" t="inlineStr">
        <is>
          <t>9900240001400009120224 Porte meuble cuisine</t>
        </is>
      </c>
      <c r="F111" s="42" t="n">
        <v>5</v>
      </c>
      <c r="G111" s="42" t="n"/>
      <c r="H111" s="44" t="inlineStr">
        <is>
          <t>87</t>
        </is>
      </c>
    </row>
    <row r="112" ht="15.75" customHeight="1">
      <c r="A112" s="45" t="n">
        <v>45334</v>
      </c>
      <c r="B112" s="43" t="inlineStr">
        <is>
          <t>Cash</t>
        </is>
      </c>
      <c r="C112" s="42" t="n"/>
      <c r="D112" s="42" t="inlineStr">
        <is>
          <t>Meuble</t>
        </is>
      </c>
      <c r="E112" s="42" t="inlineStr">
        <is>
          <t>9900240001400009120224 Range bouteilles</t>
        </is>
      </c>
      <c r="F112" s="46" t="n">
        <v>5.5</v>
      </c>
      <c r="G112" s="42" t="n"/>
      <c r="H112" s="44" t="inlineStr">
        <is>
          <t>87</t>
        </is>
      </c>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c r="A113" s="45" t="n">
        <v>45334</v>
      </c>
      <c r="B113" s="43" t="inlineStr">
        <is>
          <t>Cash</t>
        </is>
      </c>
      <c r="C113" s="42" t="n"/>
      <c r="D113" s="42" t="inlineStr">
        <is>
          <t>Meuble</t>
        </is>
      </c>
      <c r="E113" s="42" t="inlineStr">
        <is>
          <t>9900240001400009120224 Ampoules</t>
        </is>
      </c>
      <c r="F113" s="46" t="n">
        <v>5.99</v>
      </c>
      <c r="G113" s="42" t="n"/>
      <c r="H113" s="44" t="inlineStr">
        <is>
          <t>87</t>
        </is>
      </c>
      <c r="I113" s="7" t="n"/>
      <c r="J113" s="7" t="n"/>
      <c r="K113" s="7" t="n"/>
      <c r="L113" s="7" t="n"/>
      <c r="M113" s="7" t="n"/>
      <c r="N113" s="7" t="n"/>
      <c r="O113" s="7" t="n"/>
      <c r="P113" s="7" t="n"/>
      <c r="Q113" s="7" t="n"/>
      <c r="R113" s="7" t="n"/>
      <c r="S113" s="7" t="n"/>
      <c r="T113" s="7" t="n"/>
      <c r="U113" s="7" t="n"/>
      <c r="V113" s="7" t="n"/>
      <c r="W113" s="7" t="n"/>
      <c r="X113" s="7" t="n"/>
      <c r="Y113" s="7" t="n"/>
      <c r="Z113" s="7" t="n"/>
    </row>
    <row r="114">
      <c r="A114" s="43" t="n">
        <v>45335</v>
      </c>
      <c r="B114" s="42" t="inlineStr">
        <is>
          <t>Cash</t>
        </is>
      </c>
      <c r="C114" s="42" t="n"/>
      <c r="D114" s="42" t="inlineStr">
        <is>
          <t>Meuble</t>
        </is>
      </c>
      <c r="E114" s="42" t="inlineStr">
        <is>
          <t>9900240002000018130224 Tiroir</t>
        </is>
      </c>
      <c r="F114" s="42" t="n">
        <v>8</v>
      </c>
      <c r="G114" s="42" t="n"/>
      <c r="H114" s="44" t="inlineStr">
        <is>
          <t>89</t>
        </is>
      </c>
    </row>
    <row r="115" ht="15.75" customHeight="1">
      <c r="A115" s="43" t="n">
        <v>45335</v>
      </c>
      <c r="B115" s="42" t="inlineStr">
        <is>
          <t>Cash</t>
        </is>
      </c>
      <c r="C115" s="42" t="n"/>
      <c r="D115" s="42" t="inlineStr">
        <is>
          <t>Meuble</t>
        </is>
      </c>
      <c r="E115" s="42" t="inlineStr">
        <is>
          <t>9900240002000017130224 Etagere</t>
        </is>
      </c>
      <c r="F115" s="42" t="n">
        <v>7</v>
      </c>
      <c r="G115" s="42" t="n"/>
      <c r="H115" s="44" t="inlineStr">
        <is>
          <t>88</t>
        </is>
      </c>
    </row>
    <row r="116">
      <c r="A116" s="43" t="n">
        <v>45335</v>
      </c>
      <c r="B116" s="42" t="inlineStr">
        <is>
          <t>Cash</t>
        </is>
      </c>
      <c r="C116" s="42" t="n"/>
      <c r="D116" s="42" t="inlineStr">
        <is>
          <t>Meuble</t>
        </is>
      </c>
      <c r="E116" s="42" t="inlineStr">
        <is>
          <t>9900240002000017130224 Tiroir cuisine</t>
        </is>
      </c>
      <c r="F116" s="42" t="n">
        <v>23</v>
      </c>
      <c r="G116" s="42" t="n"/>
      <c r="H116" s="44" t="inlineStr">
        <is>
          <t>88</t>
        </is>
      </c>
    </row>
    <row r="117">
      <c r="A117" s="43" t="n">
        <v>45336</v>
      </c>
      <c r="B117" s="42" t="inlineStr">
        <is>
          <t>Cash</t>
        </is>
      </c>
      <c r="C117" s="42" t="n"/>
      <c r="D117" s="42" t="inlineStr">
        <is>
          <t>Meuble</t>
        </is>
      </c>
      <c r="E117" s="42" t="inlineStr">
        <is>
          <t>9900240001900055140224 Ampoule</t>
        </is>
      </c>
      <c r="F117" s="42" t="n">
        <v>5.99</v>
      </c>
      <c r="G117" s="42" t="n"/>
      <c r="H117" s="44" t="inlineStr">
        <is>
          <t>90</t>
        </is>
      </c>
    </row>
    <row r="118">
      <c r="A118" s="43" t="n">
        <v>45336</v>
      </c>
      <c r="B118" s="42" t="inlineStr">
        <is>
          <t>Cash</t>
        </is>
      </c>
      <c r="C118" s="42" t="n"/>
      <c r="D118" s="42" t="inlineStr">
        <is>
          <t>Meuble</t>
        </is>
      </c>
      <c r="E118" s="42" t="inlineStr">
        <is>
          <t>9900240001900055140224 Accessoire cuisine</t>
        </is>
      </c>
      <c r="F118" s="42" t="n">
        <v>1.99</v>
      </c>
      <c r="G118" s="42" t="n"/>
      <c r="H118" s="44" t="inlineStr">
        <is>
          <t>90</t>
        </is>
      </c>
    </row>
    <row r="119">
      <c r="A119" s="43" t="n">
        <v>45337</v>
      </c>
      <c r="B119" s="42" t="inlineStr">
        <is>
          <t>Cash</t>
        </is>
      </c>
      <c r="C119" s="42" t="n"/>
      <c r="D119" s="42" t="inlineStr">
        <is>
          <t>Meuble nf</t>
        </is>
      </c>
      <c r="E119" s="42" t="inlineStr">
        <is>
          <t>9900240001800048150224 Cable</t>
        </is>
      </c>
      <c r="F119" s="42" t="n">
        <v>5</v>
      </c>
      <c r="G119" s="42" t="n"/>
      <c r="H119" s="44" t="inlineStr">
        <is>
          <t>91</t>
        </is>
      </c>
    </row>
    <row r="120" ht="15.75" customHeight="1">
      <c r="A120" s="43" t="n">
        <v>45337</v>
      </c>
      <c r="B120" s="42" t="inlineStr">
        <is>
          <t>Cash</t>
        </is>
      </c>
      <c r="C120" s="42" t="n"/>
      <c r="D120" s="42" t="inlineStr">
        <is>
          <t>Meuble nf</t>
        </is>
      </c>
      <c r="E120" s="42" t="inlineStr">
        <is>
          <t>9900240001800048150224 Variateur</t>
        </is>
      </c>
      <c r="F120" s="42" t="n">
        <v>6.99</v>
      </c>
      <c r="G120" s="42" t="n"/>
      <c r="H120" s="44" t="inlineStr">
        <is>
          <t>91</t>
        </is>
      </c>
    </row>
    <row r="121" ht="15.75" customHeight="1">
      <c r="A121" s="43" t="n">
        <v>45337</v>
      </c>
      <c r="B121" s="42" t="inlineStr">
        <is>
          <t>Cash</t>
        </is>
      </c>
      <c r="C121" s="42" t="n"/>
      <c r="D121" s="42" t="inlineStr">
        <is>
          <t>Meuble nf</t>
        </is>
      </c>
      <c r="E121" s="42" t="inlineStr">
        <is>
          <t>9900240001800048150224 Transformateur cuisine</t>
        </is>
      </c>
      <c r="F121" s="42" t="n">
        <v>15</v>
      </c>
      <c r="G121" s="42" t="n"/>
      <c r="H121" s="44" t="inlineStr">
        <is>
          <t>91</t>
        </is>
      </c>
    </row>
    <row r="122" ht="15.75" customHeight="1">
      <c r="A122" s="43" t="n">
        <v>45337</v>
      </c>
      <c r="B122" s="42" t="inlineStr">
        <is>
          <t>Cash</t>
        </is>
      </c>
      <c r="C122" s="42" t="n"/>
      <c r="D122" s="42" t="inlineStr">
        <is>
          <t>Meuble nf</t>
        </is>
      </c>
      <c r="E122" s="42" t="inlineStr">
        <is>
          <t>9900240001800048150224 Baguette lumiere cuisine</t>
        </is>
      </c>
      <c r="F122" s="42" t="n">
        <v>19.99</v>
      </c>
      <c r="G122" s="42" t="n"/>
      <c r="H122" s="44" t="inlineStr">
        <is>
          <t>91</t>
        </is>
      </c>
    </row>
    <row r="123" ht="15.75" customHeight="1">
      <c r="A123" s="43" t="n">
        <v>45340</v>
      </c>
      <c r="B123" s="42" t="inlineStr">
        <is>
          <t>Cash</t>
        </is>
      </c>
      <c r="C123" s="42" t="n"/>
      <c r="D123" s="42" t="inlineStr">
        <is>
          <t>Meuble</t>
        </is>
      </c>
      <c r="E123" s="42" t="inlineStr">
        <is>
          <t>9900432002400160180224 Transformateur cuisine</t>
        </is>
      </c>
      <c r="F123" s="42" t="n">
        <v>10.5</v>
      </c>
      <c r="G123" s="42" t="n"/>
      <c r="H123" s="44" t="inlineStr">
        <is>
          <t>93</t>
        </is>
      </c>
    </row>
    <row r="124" ht="15.75" customHeight="1">
      <c r="A124" s="43" t="n">
        <v>45340</v>
      </c>
      <c r="B124" s="42" t="inlineStr">
        <is>
          <t>Cash</t>
        </is>
      </c>
      <c r="C124" s="42" t="n"/>
      <c r="D124" s="42" t="inlineStr">
        <is>
          <t>Meuble</t>
        </is>
      </c>
      <c r="E124" s="42" t="inlineStr">
        <is>
          <t>9900083005600071180224 Plafonnier</t>
        </is>
      </c>
      <c r="F124" s="42" t="n">
        <v>11.99</v>
      </c>
      <c r="G124" s="42" t="n"/>
      <c r="H124" s="44" t="inlineStr">
        <is>
          <t>92</t>
        </is>
      </c>
    </row>
    <row r="125" ht="15.75" customHeight="1">
      <c r="A125" s="43" t="n">
        <v>45340</v>
      </c>
      <c r="B125" s="42" t="inlineStr">
        <is>
          <t>Cash</t>
        </is>
      </c>
      <c r="C125" s="42" t="n"/>
      <c r="D125" s="42" t="inlineStr">
        <is>
          <t>Meuble</t>
        </is>
      </c>
      <c r="E125" s="42" t="inlineStr">
        <is>
          <t>9900083005600071180224 Table balcon</t>
        </is>
      </c>
      <c r="F125" s="42" t="n">
        <v>34.99</v>
      </c>
      <c r="G125" s="42" t="n"/>
      <c r="H125" s="44" t="inlineStr">
        <is>
          <t>92</t>
        </is>
      </c>
    </row>
    <row r="126" ht="15.75" customHeight="1">
      <c r="A126" s="43" t="n">
        <v>45342</v>
      </c>
      <c r="B126" s="42" t="inlineStr">
        <is>
          <t>Cash</t>
        </is>
      </c>
      <c r="C126" s="42" t="n"/>
      <c r="D126" s="42" t="inlineStr">
        <is>
          <t>Meuble</t>
        </is>
      </c>
      <c r="E126" s="42" t="inlineStr">
        <is>
          <t>FRINV24000001919356 Portes meuble cuisine</t>
        </is>
      </c>
      <c r="F126" s="42" t="n">
        <v>250</v>
      </c>
      <c r="G126" s="42" t="n"/>
      <c r="H126" s="44" t="inlineStr">
        <is>
          <t>94</t>
        </is>
      </c>
    </row>
    <row r="127" ht="15.75" customHeight="1">
      <c r="A127" s="43" t="n">
        <v>45343</v>
      </c>
      <c r="B127" s="42" t="inlineStr">
        <is>
          <t>Cash</t>
        </is>
      </c>
      <c r="C127" s="42" t="n"/>
      <c r="D127" s="42" t="inlineStr">
        <is>
          <t>Meuble</t>
        </is>
      </c>
      <c r="E127" s="42" t="inlineStr">
        <is>
          <t>9900240001700015210224 Table canapé</t>
        </is>
      </c>
      <c r="F127" s="42" t="n">
        <v>28</v>
      </c>
      <c r="G127" s="42" t="n"/>
      <c r="H127" s="44" t="inlineStr">
        <is>
          <t>95</t>
        </is>
      </c>
    </row>
    <row r="128" ht="15.75" customHeight="1">
      <c r="A128" s="43" t="n">
        <v>45341</v>
      </c>
      <c r="B128" s="42" t="inlineStr">
        <is>
          <t>CB</t>
        </is>
      </c>
      <c r="C128" s="42" t="n"/>
      <c r="D128" s="42" t="inlineStr">
        <is>
          <t>Electromenager</t>
        </is>
      </c>
      <c r="E128" s="42" t="inlineStr">
        <is>
          <t>Hotte</t>
        </is>
      </c>
      <c r="F128" s="42" t="n">
        <v>359.1</v>
      </c>
      <c r="G128" s="42" t="n"/>
      <c r="H128" s="44" t="inlineStr">
        <is>
          <t>142</t>
        </is>
      </c>
    </row>
    <row r="129" ht="15.75" customHeight="1">
      <c r="A129" s="43" t="n">
        <v>45349</v>
      </c>
      <c r="B129" s="42" t="inlineStr">
        <is>
          <t>Cash</t>
        </is>
      </c>
      <c r="C129" s="42" t="n"/>
      <c r="D129" s="42" t="inlineStr">
        <is>
          <t>Meuble</t>
        </is>
      </c>
      <c r="E129" s="42" t="inlineStr">
        <is>
          <t>9900240001500061270224 Pied meuble cuisine</t>
        </is>
      </c>
      <c r="F129" s="42" t="n">
        <v>7</v>
      </c>
      <c r="G129" s="42" t="n"/>
      <c r="H129" s="44" t="inlineStr">
        <is>
          <t>96</t>
        </is>
      </c>
    </row>
    <row r="130" ht="15.75" customHeight="1">
      <c r="A130" s="43" t="n">
        <v>45352</v>
      </c>
      <c r="B130" s="42" t="inlineStr">
        <is>
          <t>Cash</t>
        </is>
      </c>
      <c r="C130" s="42" t="n"/>
      <c r="D130" s="42" t="inlineStr">
        <is>
          <t>Meuble</t>
        </is>
      </c>
      <c r="E130" s="42" t="inlineStr">
        <is>
          <t>9900240001600004010324 Rideaux</t>
        </is>
      </c>
      <c r="F130" s="42" t="n">
        <v>16.88</v>
      </c>
      <c r="G130" s="42" t="n"/>
      <c r="H130" s="44" t="inlineStr">
        <is>
          <t>98</t>
        </is>
      </c>
    </row>
    <row r="131" ht="15.75" customHeight="1">
      <c r="A131" s="43" t="n">
        <v>45352</v>
      </c>
      <c r="B131" s="42" t="inlineStr">
        <is>
          <t>Cash</t>
        </is>
      </c>
      <c r="C131" s="42" t="n"/>
      <c r="D131" s="42" t="inlineStr">
        <is>
          <t>Meuble</t>
        </is>
      </c>
      <c r="E131" s="42" t="inlineStr">
        <is>
          <t>9900240001600004010324 Charnieres</t>
        </is>
      </c>
      <c r="F131" s="42" t="n">
        <v>24.12</v>
      </c>
      <c r="G131" s="42" t="n"/>
      <c r="H131" s="44" t="inlineStr">
        <is>
          <t>98</t>
        </is>
      </c>
    </row>
    <row r="132" ht="15.75" customHeight="1">
      <c r="A132" s="43" t="n">
        <v>45352</v>
      </c>
      <c r="B132" s="42" t="inlineStr">
        <is>
          <t>Cash</t>
        </is>
      </c>
      <c r="C132" s="42" t="n"/>
      <c r="D132" s="42" t="inlineStr">
        <is>
          <t>Meuble</t>
        </is>
      </c>
      <c r="E132" s="42" t="inlineStr">
        <is>
          <t>9900240001400003010324 Ampoule</t>
        </is>
      </c>
      <c r="F132" s="42" t="n">
        <v>7.47</v>
      </c>
      <c r="G132" s="42" t="n"/>
      <c r="H132" s="44" t="inlineStr">
        <is>
          <t>97</t>
        </is>
      </c>
    </row>
    <row r="133" ht="15.75" customHeight="1">
      <c r="A133" s="43" t="n">
        <v>45352</v>
      </c>
      <c r="B133" s="42" t="inlineStr">
        <is>
          <t>Cash</t>
        </is>
      </c>
      <c r="C133" s="42" t="n"/>
      <c r="D133" s="42" t="inlineStr">
        <is>
          <t>Meuble</t>
        </is>
      </c>
      <c r="E133" s="42" t="inlineStr">
        <is>
          <t>9900240001400003010324 Pied meuble cuisine</t>
        </is>
      </c>
      <c r="F133" s="42" t="n">
        <v>8.300000000000001</v>
      </c>
      <c r="G133" s="42" t="n"/>
      <c r="H133" s="44" t="inlineStr">
        <is>
          <t>97</t>
        </is>
      </c>
    </row>
    <row r="134" ht="15.75" customHeight="1">
      <c r="A134" s="43" t="n">
        <v>45352</v>
      </c>
      <c r="B134" s="42" t="inlineStr">
        <is>
          <t>Cash</t>
        </is>
      </c>
      <c r="C134" s="42" t="n"/>
      <c r="D134" s="42" t="inlineStr">
        <is>
          <t>Meuble</t>
        </is>
      </c>
      <c r="E134" s="42" t="inlineStr">
        <is>
          <t>9900240001400003010324 Lampadaire</t>
        </is>
      </c>
      <c r="F134" s="42" t="n">
        <v>33.21</v>
      </c>
      <c r="G134" s="42" t="n"/>
      <c r="H134" s="44" t="inlineStr">
        <is>
          <t>97</t>
        </is>
      </c>
    </row>
    <row r="135" ht="15.75" customHeight="1">
      <c r="A135" s="43" t="n">
        <v>45354</v>
      </c>
      <c r="B135" s="42" t="inlineStr">
        <is>
          <t>Cash</t>
        </is>
      </c>
      <c r="C135" s="42" t="n"/>
      <c r="D135" s="42" t="inlineStr">
        <is>
          <t>Meuble</t>
        </is>
      </c>
      <c r="E135" s="42" t="inlineStr">
        <is>
          <t>9900240002000036030324 Placard accessoire</t>
        </is>
      </c>
      <c r="F135" s="42" t="n">
        <v>4.99</v>
      </c>
      <c r="G135" s="42" t="n"/>
      <c r="H135" s="44" t="inlineStr">
        <is>
          <t>99</t>
        </is>
      </c>
    </row>
    <row r="136" ht="15.75" customHeight="1">
      <c r="A136" s="43" t="n">
        <v>45354</v>
      </c>
      <c r="B136" s="42" t="inlineStr">
        <is>
          <t>Cash</t>
        </is>
      </c>
      <c r="C136" s="42" t="n"/>
      <c r="D136" s="42" t="inlineStr">
        <is>
          <t>Meuble</t>
        </is>
      </c>
      <c r="E136" s="42" t="inlineStr">
        <is>
          <t>9900240002000036030324 Placard</t>
        </is>
      </c>
      <c r="F136" s="42" t="n">
        <v>19.99</v>
      </c>
      <c r="G136" s="42" t="n"/>
      <c r="H136" s="44" t="inlineStr">
        <is>
          <t>99</t>
        </is>
      </c>
    </row>
    <row r="137" ht="15.75" customHeight="1">
      <c r="A137" s="43" t="n">
        <v>45354</v>
      </c>
      <c r="B137" s="42" t="inlineStr">
        <is>
          <t>Cash</t>
        </is>
      </c>
      <c r="C137" s="42" t="n"/>
      <c r="D137" s="42" t="inlineStr">
        <is>
          <t>Meuble</t>
        </is>
      </c>
      <c r="E137" s="42" t="inlineStr">
        <is>
          <t>9900240002000036030324 Meuble cuisine</t>
        </is>
      </c>
      <c r="F137" s="42" t="n">
        <v>29.99</v>
      </c>
      <c r="G137" s="42" t="n"/>
      <c r="H137" s="44" t="inlineStr">
        <is>
          <t>99</t>
        </is>
      </c>
    </row>
    <row r="138" ht="15.75" customHeight="1">
      <c r="A138" s="43" t="n">
        <v>45357</v>
      </c>
      <c r="B138" s="43" t="inlineStr">
        <is>
          <t>Prélèvement</t>
        </is>
      </c>
      <c r="C138" s="42" t="inlineStr">
        <is>
          <t>Joint</t>
        </is>
      </c>
      <c r="D138" s="42" t="inlineStr">
        <is>
          <t>Assurance</t>
        </is>
      </c>
      <c r="E138" s="42" t="inlineStr">
        <is>
          <t>Assurance (X) Twinseo contrat HAR1012515</t>
        </is>
      </c>
      <c r="F138" s="42" t="n">
        <v>14.21</v>
      </c>
      <c r="G138" s="42" t="n"/>
      <c r="H138" s="44" t="inlineStr">
        <is>
          <t>37,45</t>
        </is>
      </c>
    </row>
    <row r="139" ht="15.75" customHeight="1">
      <c r="A139" s="43" t="n">
        <v>45357</v>
      </c>
      <c r="B139" s="43" t="inlineStr">
        <is>
          <t>Prélèvement</t>
        </is>
      </c>
      <c r="C139" s="42" t="inlineStr">
        <is>
          <t>Joint</t>
        </is>
      </c>
      <c r="D139" s="42" t="inlineStr">
        <is>
          <t>Assurance</t>
        </is>
      </c>
      <c r="E139" s="42" t="inlineStr">
        <is>
          <t>Assurance (A) Twinseo contrat HAR1018934</t>
        </is>
      </c>
      <c r="F139" s="42" t="n">
        <v>14.79</v>
      </c>
      <c r="G139" s="42" t="n"/>
      <c r="H139" s="44" t="inlineStr">
        <is>
          <t>37,43</t>
        </is>
      </c>
    </row>
    <row r="140" ht="15.75" customHeight="1">
      <c r="A140" s="43" t="n">
        <v>45357</v>
      </c>
      <c r="B140" s="42" t="inlineStr">
        <is>
          <t>Cash</t>
        </is>
      </c>
      <c r="C140" s="42" t="n"/>
      <c r="D140" s="42" t="inlineStr">
        <is>
          <t>Meuble</t>
        </is>
      </c>
      <c r="E140" s="42" t="inlineStr">
        <is>
          <t>9900240001500038060324 Rideaux + elec cuisine</t>
        </is>
      </c>
      <c r="F140" s="42" t="n">
        <v>42.98</v>
      </c>
      <c r="G140" s="42" t="n"/>
      <c r="H140" s="44" t="inlineStr">
        <is>
          <t>101</t>
        </is>
      </c>
    </row>
    <row r="141" ht="15.75" customHeight="1">
      <c r="A141" s="43" t="n">
        <v>45357</v>
      </c>
      <c r="B141" s="42" t="inlineStr">
        <is>
          <t>Cash</t>
        </is>
      </c>
      <c r="C141" s="42" t="n"/>
      <c r="D141" s="42" t="inlineStr">
        <is>
          <t>Meuble nf</t>
        </is>
      </c>
      <c r="E141" s="42" t="inlineStr">
        <is>
          <t>9900240002000026060324 Chaises balcon</t>
        </is>
      </c>
      <c r="F141" s="42" t="n">
        <v>49.98</v>
      </c>
      <c r="G141" s="42" t="n"/>
      <c r="H141" s="44" t="inlineStr">
        <is>
          <t>100</t>
        </is>
      </c>
    </row>
    <row r="142" ht="15.75" customHeight="1">
      <c r="A142" s="43" t="n">
        <v>45359</v>
      </c>
      <c r="B142" s="42" t="inlineStr">
        <is>
          <t>Cash</t>
        </is>
      </c>
      <c r="C142" s="42" t="n"/>
      <c r="D142" s="42" t="inlineStr">
        <is>
          <t>Meuble</t>
        </is>
      </c>
      <c r="E142" s="42" t="inlineStr">
        <is>
          <t>9900240001900080080324 Meuble/accessoire cuisine</t>
        </is>
      </c>
      <c r="F142" s="42" t="n">
        <v>65</v>
      </c>
      <c r="G142" s="42" t="n"/>
      <c r="H142" s="44" t="inlineStr">
        <is>
          <t>112</t>
        </is>
      </c>
    </row>
    <row r="143" ht="15.75" customHeight="1">
      <c r="A143" s="43" t="n">
        <v>45359</v>
      </c>
      <c r="B143" s="42" t="inlineStr">
        <is>
          <t>Cash</t>
        </is>
      </c>
      <c r="C143" s="42" t="n"/>
      <c r="D143" s="42" t="inlineStr">
        <is>
          <t>Meuble</t>
        </is>
      </c>
      <c r="E143" s="42" t="inlineStr">
        <is>
          <t>9900240001900079080324 Meuble/accessoire cuisine</t>
        </is>
      </c>
      <c r="F143" s="42" t="n">
        <v>65</v>
      </c>
      <c r="G143" s="42" t="n"/>
      <c r="H143" s="44" t="inlineStr">
        <is>
          <t>111</t>
        </is>
      </c>
    </row>
    <row r="144" ht="15.75" customHeight="1">
      <c r="A144" s="43" t="n">
        <v>45359</v>
      </c>
      <c r="B144" s="42" t="inlineStr">
        <is>
          <t>Cash</t>
        </is>
      </c>
      <c r="C144" s="42" t="n"/>
      <c r="D144" s="42" t="inlineStr">
        <is>
          <t>Meuble</t>
        </is>
      </c>
      <c r="E144" s="42" t="inlineStr">
        <is>
          <t>9900240001900066080324 Meuble/accessoire cuisine</t>
        </is>
      </c>
      <c r="F144" s="42" t="n">
        <v>42</v>
      </c>
      <c r="G144" s="42" t="n"/>
      <c r="H144" s="44" t="inlineStr">
        <is>
          <t>110</t>
        </is>
      </c>
    </row>
    <row r="145" ht="15.75" customHeight="1">
      <c r="A145" s="43" t="n">
        <v>45359</v>
      </c>
      <c r="B145" s="42" t="inlineStr">
        <is>
          <t>Cash</t>
        </is>
      </c>
      <c r="C145" s="42" t="n"/>
      <c r="D145" s="42" t="inlineStr">
        <is>
          <t>Meuble</t>
        </is>
      </c>
      <c r="E145" s="42" t="inlineStr">
        <is>
          <t>9900240001700027080324 Meuble/accessoire cuisine</t>
        </is>
      </c>
      <c r="F145" s="42" t="n">
        <v>42</v>
      </c>
      <c r="G145" s="42" t="n"/>
      <c r="H145" s="44" t="inlineStr">
        <is>
          <t>109</t>
        </is>
      </c>
    </row>
    <row r="146" ht="15.75" customHeight="1">
      <c r="A146" s="43" t="n">
        <v>45359</v>
      </c>
      <c r="B146" s="42" t="inlineStr">
        <is>
          <t>Cash</t>
        </is>
      </c>
      <c r="C146" s="42" t="n"/>
      <c r="D146" s="42" t="inlineStr">
        <is>
          <t>Meuble</t>
        </is>
      </c>
      <c r="E146" s="42" t="inlineStr">
        <is>
          <t>9900240002100022080324 Meuble/accessoire cuisine</t>
        </is>
      </c>
      <c r="F146" s="42" t="n">
        <v>49.97</v>
      </c>
      <c r="G146" s="42" t="n"/>
      <c r="H146" s="44" t="inlineStr">
        <is>
          <t>108</t>
        </is>
      </c>
    </row>
    <row r="147" ht="15.75" customHeight="1">
      <c r="A147" s="43" t="n">
        <v>45359</v>
      </c>
      <c r="B147" s="42" t="inlineStr">
        <is>
          <t>Cash</t>
        </is>
      </c>
      <c r="C147" s="42" t="n"/>
      <c r="D147" s="42" t="inlineStr">
        <is>
          <t>Meuble</t>
        </is>
      </c>
      <c r="E147" s="42" t="inlineStr">
        <is>
          <t>9900240001500050080324 Meuble/accessoire cuisine</t>
        </is>
      </c>
      <c r="F147" s="42" t="n">
        <v>42.37</v>
      </c>
      <c r="G147" s="42" t="n"/>
      <c r="H147" s="44" t="inlineStr">
        <is>
          <t>107</t>
        </is>
      </c>
    </row>
    <row r="148" ht="15.75" customHeight="1">
      <c r="A148" s="43" t="n">
        <v>45359</v>
      </c>
      <c r="B148" s="42" t="inlineStr">
        <is>
          <t>Cash</t>
        </is>
      </c>
      <c r="C148" s="42" t="n"/>
      <c r="D148" s="42" t="inlineStr">
        <is>
          <t>Meuble</t>
        </is>
      </c>
      <c r="E148" s="42" t="inlineStr">
        <is>
          <t>9900240002100021080324 Meuble cuisine</t>
        </is>
      </c>
      <c r="F148" s="42" t="n">
        <v>45</v>
      </c>
      <c r="G148" s="42" t="n"/>
      <c r="H148" s="44" t="inlineStr">
        <is>
          <t>106</t>
        </is>
      </c>
    </row>
    <row r="149" ht="15.75" customHeight="1">
      <c r="A149" s="43" t="n">
        <v>45359</v>
      </c>
      <c r="B149" s="42" t="inlineStr">
        <is>
          <t>Cash</t>
        </is>
      </c>
      <c r="C149" s="42" t="n"/>
      <c r="D149" s="42" t="inlineStr">
        <is>
          <t>Meuble</t>
        </is>
      </c>
      <c r="E149" s="42" t="inlineStr">
        <is>
          <t>9900240003400006080324 Etagere cuisine</t>
        </is>
      </c>
      <c r="F149" s="42" t="n">
        <v>40</v>
      </c>
      <c r="G149" s="42" t="n"/>
      <c r="H149" s="44" t="inlineStr">
        <is>
          <t>105</t>
        </is>
      </c>
    </row>
    <row r="150" ht="15.75" customHeight="1">
      <c r="A150" s="43" t="n">
        <v>45359</v>
      </c>
      <c r="B150" s="42" t="inlineStr">
        <is>
          <t>Cash</t>
        </is>
      </c>
      <c r="C150" s="42" t="n"/>
      <c r="D150" s="42" t="inlineStr">
        <is>
          <t>Meuble</t>
        </is>
      </c>
      <c r="E150" s="42" t="inlineStr">
        <is>
          <t>9900240001500036080324 Poubelle + tiroir placard + accessoires</t>
        </is>
      </c>
      <c r="F150" s="42" t="n">
        <v>44.99</v>
      </c>
      <c r="G150" s="42" t="n"/>
      <c r="H150" s="44" t="inlineStr">
        <is>
          <t>104</t>
        </is>
      </c>
    </row>
    <row r="151" ht="15.75" customHeight="1">
      <c r="A151" s="43" t="n">
        <v>45359</v>
      </c>
      <c r="B151" s="42" t="inlineStr">
        <is>
          <t>Cash</t>
        </is>
      </c>
      <c r="C151" s="42" t="n"/>
      <c r="D151" s="42" t="inlineStr">
        <is>
          <t>Meuble nf</t>
        </is>
      </c>
      <c r="E151" s="42" t="inlineStr">
        <is>
          <t>9900240002100019080324 Structure placard + face tiroir</t>
        </is>
      </c>
      <c r="F151" s="42" t="n">
        <v>42</v>
      </c>
      <c r="G151" s="42" t="n"/>
      <c r="H151" s="44" t="inlineStr">
        <is>
          <t>103</t>
        </is>
      </c>
    </row>
    <row r="152" ht="15.75" customHeight="1">
      <c r="A152" s="43" t="n">
        <v>45359</v>
      </c>
      <c r="B152" s="42" t="inlineStr">
        <is>
          <t>Cash</t>
        </is>
      </c>
      <c r="C152" s="42" t="n"/>
      <c r="D152" s="42" t="inlineStr">
        <is>
          <t>Meuble</t>
        </is>
      </c>
      <c r="E152" s="42" t="inlineStr">
        <is>
          <t>9900240001500036080324 Structure placard</t>
        </is>
      </c>
      <c r="F152" s="42" t="n">
        <v>50</v>
      </c>
      <c r="G152" s="42" t="n"/>
      <c r="H152" s="44" t="inlineStr">
        <is>
          <t>102</t>
        </is>
      </c>
    </row>
    <row r="153" ht="15.75" customHeight="1">
      <c r="A153" s="45" t="n">
        <v>45360</v>
      </c>
      <c r="B153" s="42" t="inlineStr">
        <is>
          <t>Cash</t>
        </is>
      </c>
      <c r="C153" s="42" t="n"/>
      <c r="D153" s="42" t="inlineStr">
        <is>
          <t>Travaux</t>
        </is>
      </c>
      <c r="E153" s="42" t="inlineStr">
        <is>
          <t>072946 carrelage cuisine (266) + evier (160)</t>
        </is>
      </c>
      <c r="F153" s="46" t="n">
        <v>441.22</v>
      </c>
      <c r="G153" s="42" t="n"/>
      <c r="H153" s="44" t="inlineStr">
        <is>
          <t>134</t>
        </is>
      </c>
      <c r="I153" s="7" t="n"/>
      <c r="J153" s="6" t="inlineStr">
        <is>
          <t>Remboursé?</t>
        </is>
      </c>
      <c r="K153" s="7" t="n"/>
      <c r="L153" s="7" t="n"/>
      <c r="M153" s="7" t="n"/>
      <c r="N153" s="7" t="n"/>
      <c r="O153" s="7" t="n"/>
      <c r="P153" s="7" t="n"/>
      <c r="Q153" s="7" t="n"/>
      <c r="R153" s="7" t="n"/>
      <c r="S153" s="7" t="n"/>
      <c r="T153" s="7" t="n"/>
      <c r="U153" s="7" t="n"/>
      <c r="V153" s="7" t="n"/>
      <c r="W153" s="7" t="n"/>
      <c r="X153" s="7" t="n"/>
      <c r="Y153" s="7" t="n"/>
      <c r="Z153" s="7" t="n"/>
    </row>
    <row r="154" ht="15.75" customHeight="1">
      <c r="A154" s="45" t="n">
        <v>45361</v>
      </c>
      <c r="B154" s="42" t="inlineStr">
        <is>
          <t>Cash</t>
        </is>
      </c>
      <c r="C154" s="42" t="n"/>
      <c r="D154" s="42" t="inlineStr">
        <is>
          <t>Travaux</t>
        </is>
      </c>
      <c r="E154" s="42" t="inlineStr">
        <is>
          <t>991174 paroi douche</t>
        </is>
      </c>
      <c r="F154" s="46" t="n">
        <v>296.1</v>
      </c>
      <c r="G154" s="42" t="n"/>
      <c r="H154" s="44" t="inlineStr">
        <is>
          <t>133</t>
        </is>
      </c>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c r="A155" s="45" t="n">
        <v>45361</v>
      </c>
      <c r="B155" s="42" t="inlineStr">
        <is>
          <t>Cash</t>
        </is>
      </c>
      <c r="C155" s="42" t="n"/>
      <c r="D155" s="42" t="inlineStr">
        <is>
          <t>Travaux</t>
        </is>
      </c>
      <c r="E155" s="42" t="inlineStr">
        <is>
          <t>167168 carrelage</t>
        </is>
      </c>
      <c r="F155" s="46" t="n">
        <v>242.1</v>
      </c>
      <c r="G155" s="42" t="n"/>
      <c r="H155" s="44" t="inlineStr">
        <is>
          <t>131</t>
        </is>
      </c>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43" t="n">
        <v>45361</v>
      </c>
      <c r="B156" s="43" t="inlineStr">
        <is>
          <t>Prélèvement</t>
        </is>
      </c>
      <c r="C156" s="42" t="inlineStr">
        <is>
          <t>Joint</t>
        </is>
      </c>
      <c r="D156" s="42" t="inlineStr">
        <is>
          <t>Pret</t>
        </is>
      </c>
      <c r="E156" s="42" t="inlineStr">
        <is>
          <t>Echeance emprunt</t>
        </is>
      </c>
      <c r="F156" s="42" t="n">
        <v>1056.64</v>
      </c>
      <c r="G156" s="42" t="n"/>
      <c r="H156" s="44" t="inlineStr">
        <is>
          <t>37</t>
        </is>
      </c>
    </row>
    <row r="157" ht="15.75" customHeight="1">
      <c r="A157" s="43" t="n">
        <v>45361</v>
      </c>
      <c r="B157" s="42" t="inlineStr">
        <is>
          <t>Cash</t>
        </is>
      </c>
      <c r="C157" s="42" t="n"/>
      <c r="D157" s="42" t="inlineStr">
        <is>
          <t>Meuble</t>
        </is>
      </c>
      <c r="E157" s="42" t="inlineStr">
        <is>
          <t>9900240001400122100324 Accessoires rideaux + SDB</t>
        </is>
      </c>
      <c r="F157" s="42" t="n">
        <v>65</v>
      </c>
      <c r="G157" s="42" t="n"/>
      <c r="H157" s="44" t="inlineStr">
        <is>
          <t>113</t>
        </is>
      </c>
    </row>
    <row r="158" ht="15.75" customHeight="1">
      <c r="A158" s="43" t="n">
        <v>45362</v>
      </c>
      <c r="B158" s="42" t="inlineStr">
        <is>
          <t>Cash</t>
        </is>
      </c>
      <c r="C158" s="42" t="n"/>
      <c r="D158" s="42" t="inlineStr">
        <is>
          <t>Meuble</t>
        </is>
      </c>
      <c r="E158" s="42" t="inlineStr">
        <is>
          <t>9900240001900089110324 Plafonnier chambre + protege matelas + accessoire</t>
        </is>
      </c>
      <c r="F158" s="42" t="n">
        <v>41.97</v>
      </c>
      <c r="G158" s="42" t="n"/>
      <c r="H158" s="44" t="inlineStr">
        <is>
          <t>114</t>
        </is>
      </c>
    </row>
    <row r="159" ht="15.75" customHeight="1">
      <c r="A159" s="43" t="n">
        <v>45362</v>
      </c>
      <c r="B159" s="43" t="inlineStr">
        <is>
          <t>CB</t>
        </is>
      </c>
      <c r="C159" s="42" t="n"/>
      <c r="D159" s="42" t="inlineStr">
        <is>
          <t>Electromenager</t>
        </is>
      </c>
      <c r="E159" s="42" t="inlineStr">
        <is>
          <t>3030224979 Bouilloire</t>
        </is>
      </c>
      <c r="F159" s="42" t="n">
        <v>49</v>
      </c>
      <c r="G159" s="42" t="n"/>
      <c r="H159" s="44" t="inlineStr">
        <is>
          <t>139</t>
        </is>
      </c>
    </row>
    <row r="160" ht="15.75" customHeight="1">
      <c r="A160" s="43" t="n">
        <v>45362</v>
      </c>
      <c r="B160" s="43" t="inlineStr">
        <is>
          <t>CB</t>
        </is>
      </c>
      <c r="C160" s="42" t="n"/>
      <c r="D160" s="42" t="inlineStr">
        <is>
          <t>Electromenager</t>
        </is>
      </c>
      <c r="E160" s="42" t="inlineStr">
        <is>
          <t>3030224979 Lave linge</t>
        </is>
      </c>
      <c r="F160" s="42" t="n">
        <v>480</v>
      </c>
      <c r="G160" s="42" t="n"/>
      <c r="H160" s="44" t="inlineStr">
        <is>
          <t>139</t>
        </is>
      </c>
    </row>
    <row r="161" ht="15.75" customHeight="1">
      <c r="A161" s="43" t="n">
        <v>45362</v>
      </c>
      <c r="B161" s="43" t="inlineStr">
        <is>
          <t>CB</t>
        </is>
      </c>
      <c r="C161" s="42" t="n"/>
      <c r="D161" s="42" t="inlineStr">
        <is>
          <t>Electromenager</t>
        </is>
      </c>
      <c r="E161" s="42" t="inlineStr">
        <is>
          <t>3030224979 Lave vaisselle</t>
        </is>
      </c>
      <c r="F161" s="42" t="n">
        <v>533</v>
      </c>
      <c r="G161" s="42" t="n"/>
      <c r="H161" s="44" t="inlineStr">
        <is>
          <t>139</t>
        </is>
      </c>
    </row>
    <row r="162" ht="15.75" customHeight="1">
      <c r="A162" s="43" t="n">
        <v>45362</v>
      </c>
      <c r="B162" s="43" t="inlineStr">
        <is>
          <t>CB</t>
        </is>
      </c>
      <c r="C162" s="42" t="n"/>
      <c r="D162" s="42" t="inlineStr">
        <is>
          <t>Electromenager</t>
        </is>
      </c>
      <c r="E162" s="42" t="inlineStr">
        <is>
          <t>3030224979 Refrigerateur</t>
        </is>
      </c>
      <c r="F162" s="42" t="n">
        <v>470</v>
      </c>
      <c r="G162" s="42" t="n"/>
      <c r="H162" s="44" t="inlineStr">
        <is>
          <t>139</t>
        </is>
      </c>
    </row>
    <row r="163" ht="15.75" customHeight="1">
      <c r="A163" s="43" t="n">
        <v>45363</v>
      </c>
      <c r="B163" s="42" t="inlineStr">
        <is>
          <t>Cash</t>
        </is>
      </c>
      <c r="C163" s="42" t="n"/>
      <c r="D163" s="42" t="inlineStr">
        <is>
          <t>Meuble nf</t>
        </is>
      </c>
      <c r="E163" s="42" t="inlineStr">
        <is>
          <t>9900240001900077120324 Etagere</t>
        </is>
      </c>
      <c r="F163" s="42" t="n">
        <v>16.29</v>
      </c>
      <c r="G163" s="42" t="n"/>
      <c r="H163" s="44" t="inlineStr">
        <is>
          <t>115</t>
        </is>
      </c>
    </row>
    <row r="164" ht="15.75" customHeight="1">
      <c r="A164" s="43" t="n">
        <v>45364</v>
      </c>
      <c r="B164" s="42" t="inlineStr">
        <is>
          <t>Cash</t>
        </is>
      </c>
      <c r="C164" s="42" t="n"/>
      <c r="D164" s="42" t="inlineStr">
        <is>
          <t>Meuble nf</t>
        </is>
      </c>
      <c r="E164" s="42" t="inlineStr">
        <is>
          <t>9900240001800005130324 Pieds meuble cuisine + corbeille placard</t>
        </is>
      </c>
      <c r="F164" s="42" t="n">
        <v>29.47</v>
      </c>
      <c r="G164" s="42" t="n"/>
      <c r="H164" s="44" t="inlineStr">
        <is>
          <t>116</t>
        </is>
      </c>
    </row>
    <row r="165" ht="15.75" customHeight="1">
      <c r="A165" s="43" t="n">
        <v>45366</v>
      </c>
      <c r="B165" s="42" t="inlineStr">
        <is>
          <t>Cash</t>
        </is>
      </c>
      <c r="C165" s="42" t="n"/>
      <c r="D165" s="42" t="inlineStr">
        <is>
          <t>Meuble</t>
        </is>
      </c>
      <c r="E165" s="42" t="inlineStr">
        <is>
          <t>9900240001800028150324 Accessoire cuisine + pailasson + ustensiles</t>
        </is>
      </c>
      <c r="F165" s="42" t="n">
        <v>45.45</v>
      </c>
      <c r="G165" s="42" t="n"/>
      <c r="H165" s="44" t="inlineStr">
        <is>
          <t>119</t>
        </is>
      </c>
    </row>
    <row r="166" ht="15.75" customHeight="1">
      <c r="A166" s="43" t="n">
        <v>45366</v>
      </c>
      <c r="B166" s="42" t="inlineStr">
        <is>
          <t>Cash</t>
        </is>
      </c>
      <c r="C166" s="42" t="n"/>
      <c r="D166" s="42" t="inlineStr">
        <is>
          <t>Meuble</t>
        </is>
      </c>
      <c r="E166" s="42" t="inlineStr">
        <is>
          <t>9900240001900048150324 Accessoire cuisine</t>
        </is>
      </c>
      <c r="F166" s="42" t="n">
        <v>16</v>
      </c>
      <c r="G166" s="42" t="n"/>
      <c r="H166" s="44" t="inlineStr">
        <is>
          <t>118</t>
        </is>
      </c>
    </row>
    <row r="167" ht="15.75" customHeight="1">
      <c r="A167" s="43" t="n">
        <v>45366</v>
      </c>
      <c r="B167" s="42" t="inlineStr">
        <is>
          <t>Cash</t>
        </is>
      </c>
      <c r="C167" s="42" t="n"/>
      <c r="D167" s="42" t="inlineStr">
        <is>
          <t>Meuble</t>
        </is>
      </c>
      <c r="E167" s="42" t="inlineStr">
        <is>
          <t>9900240001500003150324 Accessoire cuisine</t>
        </is>
      </c>
      <c r="F167" s="42" t="n">
        <v>45.98</v>
      </c>
      <c r="G167" s="42" t="n"/>
      <c r="H167" s="44" t="inlineStr">
        <is>
          <t>117</t>
        </is>
      </c>
    </row>
    <row r="168" ht="15.75" customHeight="1">
      <c r="A168" s="45" t="n">
        <v>45366</v>
      </c>
      <c r="B168" s="42" t="inlineStr">
        <is>
          <t>Cash</t>
        </is>
      </c>
      <c r="C168" s="42" t="n"/>
      <c r="D168" s="42" t="inlineStr">
        <is>
          <t>Travaux</t>
        </is>
      </c>
      <c r="E168" s="42" t="inlineStr">
        <is>
          <t>493623 carrelage accessoires</t>
        </is>
      </c>
      <c r="F168" s="46" t="n">
        <v>27.72</v>
      </c>
      <c r="G168" s="42" t="n"/>
      <c r="H168" s="44" t="inlineStr">
        <is>
          <t>132</t>
        </is>
      </c>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43" t="n">
        <v>45367</v>
      </c>
      <c r="B169" s="42" t="inlineStr">
        <is>
          <t>Cash</t>
        </is>
      </c>
      <c r="C169" s="42" t="n"/>
      <c r="D169" s="42" t="inlineStr">
        <is>
          <t>Meuble</t>
        </is>
      </c>
      <c r="E169" s="42" t="inlineStr">
        <is>
          <t>9900240001400058160324 Literie + accessoires SDB</t>
        </is>
      </c>
      <c r="F169" s="42" t="n">
        <v>40.51</v>
      </c>
      <c r="G169" s="42" t="n"/>
      <c r="H169" s="44" t="inlineStr">
        <is>
          <t>121</t>
        </is>
      </c>
    </row>
    <row r="170" ht="15.75" customHeight="1">
      <c r="A170" s="43" t="n">
        <v>45367</v>
      </c>
      <c r="B170" s="42" t="inlineStr">
        <is>
          <t>Cash</t>
        </is>
      </c>
      <c r="C170" s="42" t="n"/>
      <c r="D170" s="42" t="inlineStr">
        <is>
          <t>Meuble</t>
        </is>
      </c>
      <c r="E170" s="42" t="inlineStr">
        <is>
          <t>9900240001900089160324 Miroir</t>
        </is>
      </c>
      <c r="F170" s="42" t="n">
        <v>45.99</v>
      </c>
      <c r="G170" s="42" t="n"/>
      <c r="H170" s="44" t="inlineStr">
        <is>
          <t>120</t>
        </is>
      </c>
    </row>
    <row r="171" ht="15.75" customHeight="1">
      <c r="A171" s="45" t="n">
        <v>45368</v>
      </c>
      <c r="B171" s="42" t="inlineStr">
        <is>
          <t>Cash</t>
        </is>
      </c>
      <c r="C171" s="42" t="n"/>
      <c r="D171" s="42" t="inlineStr">
        <is>
          <t>Travaux</t>
        </is>
      </c>
      <c r="E171" s="42" t="inlineStr">
        <is>
          <t>668793 moquette + plaque liege</t>
        </is>
      </c>
      <c r="F171" s="46" t="n">
        <v>31.77</v>
      </c>
      <c r="G171" s="42" t="n"/>
      <c r="H171" s="44" t="inlineStr">
        <is>
          <t>130</t>
        </is>
      </c>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45" t="n">
        <v>45368</v>
      </c>
      <c r="B172" s="42" t="inlineStr">
        <is>
          <t>Cash</t>
        </is>
      </c>
      <c r="C172" s="42" t="n"/>
      <c r="D172" s="42" t="inlineStr">
        <is>
          <t>Meuble</t>
        </is>
      </c>
      <c r="E172" s="42" t="inlineStr">
        <is>
          <t>9900240002000047170324 Accessoires SDB</t>
        </is>
      </c>
      <c r="F172" s="46" t="n">
        <v>44.31</v>
      </c>
      <c r="G172" s="42" t="n"/>
      <c r="H172" s="44" t="inlineStr">
        <is>
          <t>123</t>
        </is>
      </c>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43" t="n">
        <v>45368</v>
      </c>
      <c r="B173" s="42" t="inlineStr">
        <is>
          <t>Cash</t>
        </is>
      </c>
      <c r="C173" s="42" t="n"/>
      <c r="D173" s="42" t="inlineStr">
        <is>
          <t>Meuble</t>
        </is>
      </c>
      <c r="E173" s="42" t="inlineStr">
        <is>
          <t>9900240001900049170324 Bibliotheque + accessoires cuisine</t>
        </is>
      </c>
      <c r="F173" s="42" t="n">
        <v>41.98</v>
      </c>
      <c r="G173" s="42" t="n"/>
      <c r="H173" s="44" t="inlineStr">
        <is>
          <t>122</t>
        </is>
      </c>
    </row>
    <row r="174" ht="15.75" customHeight="1">
      <c r="A174" s="45" t="n">
        <v>45368</v>
      </c>
      <c r="B174" s="42" t="inlineStr">
        <is>
          <t>Cash</t>
        </is>
      </c>
      <c r="C174" s="42" t="n"/>
      <c r="D174" s="42" t="inlineStr">
        <is>
          <t>Travaux</t>
        </is>
      </c>
      <c r="E174" s="42" t="inlineStr">
        <is>
          <t>404406 outillage travaux</t>
        </is>
      </c>
      <c r="F174" s="46" t="n">
        <v>70.7</v>
      </c>
      <c r="G174" s="42" t="n"/>
      <c r="H174" s="44" t="inlineStr">
        <is>
          <t>135</t>
        </is>
      </c>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43" t="n">
        <v>45369</v>
      </c>
      <c r="B175" s="43" t="inlineStr">
        <is>
          <t>Chèque</t>
        </is>
      </c>
      <c r="C175" s="42" t="inlineStr">
        <is>
          <t>Joint</t>
        </is>
      </c>
      <c r="D175" s="42" t="inlineStr">
        <is>
          <t>Travaux G</t>
        </is>
      </c>
      <c r="E175" s="42" t="inlineStr">
        <is>
          <t>Solde des options</t>
        </is>
      </c>
      <c r="F175" s="42" t="n">
        <v>1770</v>
      </c>
      <c r="G175" s="42" t="n"/>
      <c r="H175" s="44" t="inlineStr">
        <is>
          <t>37,143</t>
        </is>
      </c>
    </row>
    <row r="176" ht="15.75" customHeight="1">
      <c r="A176" s="45" t="n">
        <v>45370</v>
      </c>
      <c r="B176" s="42" t="inlineStr">
        <is>
          <t>CB</t>
        </is>
      </c>
      <c r="C176" s="42" t="n"/>
      <c r="D176" s="42" t="inlineStr">
        <is>
          <t>Electromenager</t>
        </is>
      </c>
      <c r="E176" s="42" t="inlineStr">
        <is>
          <t>Micro onde</t>
        </is>
      </c>
      <c r="F176" s="46" t="n">
        <v>91.98</v>
      </c>
      <c r="G176" s="42" t="n"/>
      <c r="H176" s="44" t="inlineStr">
        <is>
          <t>140</t>
        </is>
      </c>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c r="A177" s="45" t="n">
        <v>45375</v>
      </c>
      <c r="B177" s="42" t="inlineStr">
        <is>
          <t>Cash</t>
        </is>
      </c>
      <c r="C177" s="42" t="n"/>
      <c r="D177" s="42" t="inlineStr">
        <is>
          <t>Meuble</t>
        </is>
      </c>
      <c r="E177" s="42" t="inlineStr">
        <is>
          <t>9900240001500125240324 Accessoire cuisine</t>
        </is>
      </c>
      <c r="F177" s="46" t="n">
        <v>11.57</v>
      </c>
      <c r="G177" s="42" t="n"/>
      <c r="H177" s="44" t="inlineStr">
        <is>
          <t>124</t>
        </is>
      </c>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c r="A178" s="45" t="n">
        <v>45381</v>
      </c>
      <c r="B178" s="42" t="inlineStr">
        <is>
          <t>Cash</t>
        </is>
      </c>
      <c r="C178" s="42" t="n"/>
      <c r="D178" s="42" t="inlineStr">
        <is>
          <t>Travaux</t>
        </is>
      </c>
      <c r="E178" s="42" t="inlineStr">
        <is>
          <t>686181 outillage travaux</t>
        </is>
      </c>
      <c r="F178" s="46" t="n">
        <v>37.08</v>
      </c>
      <c r="G178" s="42" t="n"/>
      <c r="H178" s="44" t="inlineStr">
        <is>
          <t>136</t>
        </is>
      </c>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c r="A179" s="45" t="n">
        <v>45382</v>
      </c>
      <c r="B179" s="42" t="inlineStr">
        <is>
          <t>Cash</t>
        </is>
      </c>
      <c r="C179" s="42" t="n"/>
      <c r="D179" s="42" t="inlineStr">
        <is>
          <t>Travaux</t>
        </is>
      </c>
      <c r="E179" s="42" t="inlineStr">
        <is>
          <t>474193 plantations balcon</t>
        </is>
      </c>
      <c r="F179" s="46" t="n">
        <v>80.64</v>
      </c>
      <c r="G179" s="42" t="n"/>
      <c r="H179" s="44" t="inlineStr">
        <is>
          <t>137</t>
        </is>
      </c>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c r="A180" s="45" t="n">
        <v>45382</v>
      </c>
      <c r="B180" s="42" t="inlineStr">
        <is>
          <t>Cash</t>
        </is>
      </c>
      <c r="C180" s="42" t="n"/>
      <c r="D180" s="42" t="inlineStr">
        <is>
          <t>Meuble nf</t>
        </is>
      </c>
      <c r="E180" s="42" t="inlineStr">
        <is>
          <t>9900240001500058310324 Accessoire cuisine + entrée + salon</t>
        </is>
      </c>
      <c r="F180" s="46" t="n">
        <v>131.3</v>
      </c>
      <c r="G180" s="42" t="n"/>
      <c r="H180" s="44" t="inlineStr">
        <is>
          <t>125</t>
        </is>
      </c>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c r="A181" s="45" t="n">
        <v>45388</v>
      </c>
      <c r="B181" s="42" t="inlineStr">
        <is>
          <t>Cash</t>
        </is>
      </c>
      <c r="C181" s="42" t="n"/>
      <c r="D181" s="42" t="inlineStr">
        <is>
          <t>Meuble nf</t>
        </is>
      </c>
      <c r="E181" s="42" t="inlineStr">
        <is>
          <t>9900240001800109060424 Accessoire SDB + cuisine + chaise</t>
        </is>
      </c>
      <c r="F181" s="46" t="n">
        <v>66.41</v>
      </c>
      <c r="G181" s="42" t="n"/>
      <c r="H181" s="44" t="inlineStr">
        <is>
          <t>126</t>
        </is>
      </c>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c r="A182" s="45" t="n">
        <v>45389</v>
      </c>
      <c r="B182" s="42" t="inlineStr">
        <is>
          <t>Cash</t>
        </is>
      </c>
      <c r="C182" s="42" t="n"/>
      <c r="D182" s="42" t="inlineStr">
        <is>
          <t>Travaux</t>
        </is>
      </c>
      <c r="E182" s="42" t="inlineStr">
        <is>
          <t>661677 cables TV</t>
        </is>
      </c>
      <c r="F182" s="46" t="n">
        <v>8.01</v>
      </c>
      <c r="G182" s="42" t="n"/>
      <c r="H182" s="44" t="inlineStr">
        <is>
          <t>138</t>
        </is>
      </c>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c r="A183" s="43" t="n">
        <v>45392</v>
      </c>
      <c r="B183" s="43" t="inlineStr">
        <is>
          <t>Prélèvement</t>
        </is>
      </c>
      <c r="C183" s="42" t="inlineStr">
        <is>
          <t>Joint</t>
        </is>
      </c>
      <c r="D183" s="42" t="inlineStr">
        <is>
          <t>Assurance</t>
        </is>
      </c>
      <c r="E183" s="42" t="inlineStr">
        <is>
          <t>Assurance (X) Twinseo contrat HAR1012515</t>
        </is>
      </c>
      <c r="F183" s="42" t="n">
        <v>14.21</v>
      </c>
      <c r="G183" s="42" t="n"/>
      <c r="H183" s="44" t="inlineStr">
        <is>
          <t>38,45</t>
        </is>
      </c>
    </row>
    <row r="184" ht="15.75" customHeight="1">
      <c r="A184" s="43" t="n">
        <v>45392</v>
      </c>
      <c r="B184" s="43" t="inlineStr">
        <is>
          <t>Prélèvement</t>
        </is>
      </c>
      <c r="C184" s="42" t="inlineStr">
        <is>
          <t>Joint</t>
        </is>
      </c>
      <c r="D184" s="42" t="inlineStr">
        <is>
          <t>Assurance</t>
        </is>
      </c>
      <c r="E184" s="42" t="inlineStr">
        <is>
          <t>Assurance (A) Twinseo contrat HAR1018934</t>
        </is>
      </c>
      <c r="F184" s="42" t="n">
        <v>14.79</v>
      </c>
      <c r="G184" s="42" t="n"/>
      <c r="H184" s="44" t="inlineStr">
        <is>
          <t>38,43</t>
        </is>
      </c>
    </row>
    <row r="185" ht="15.75" customHeight="1">
      <c r="A185" s="43" t="n">
        <v>45392</v>
      </c>
      <c r="B185" s="43" t="inlineStr">
        <is>
          <t>Prélèvement</t>
        </is>
      </c>
      <c r="C185" s="42" t="inlineStr">
        <is>
          <t>Joint</t>
        </is>
      </c>
      <c r="D185" s="42" t="inlineStr">
        <is>
          <t>Pret</t>
        </is>
      </c>
      <c r="E185" s="42" t="inlineStr">
        <is>
          <t>Echeance emprunt</t>
        </is>
      </c>
      <c r="F185" s="42" t="n">
        <v>1056.64</v>
      </c>
      <c r="G185" s="42" t="n"/>
      <c r="H185" s="44" t="inlineStr">
        <is>
          <t>38</t>
        </is>
      </c>
    </row>
    <row r="186" ht="15.75" customHeight="1">
      <c r="A186" s="43" t="n">
        <v>45401</v>
      </c>
      <c r="B186" s="42" t="inlineStr">
        <is>
          <t>CB</t>
        </is>
      </c>
      <c r="C186" s="42" t="inlineStr">
        <is>
          <t>Bourso</t>
        </is>
      </c>
      <c r="D186" s="42" t="inlineStr">
        <is>
          <t>PNO</t>
        </is>
      </c>
      <c r="E186" s="42" t="n"/>
      <c r="F186" s="42" t="n">
        <v>114.85</v>
      </c>
      <c r="G186" s="42" t="n"/>
      <c r="H186" s="44" t="inlineStr">
        <is>
          <t>55, 56</t>
        </is>
      </c>
    </row>
    <row r="187" ht="15.75" customHeight="1">
      <c r="A187" s="43" t="n">
        <v>45418</v>
      </c>
      <c r="B187" s="43" t="inlineStr">
        <is>
          <t>Prélèvement</t>
        </is>
      </c>
      <c r="C187" s="42" t="inlineStr">
        <is>
          <t>Joint</t>
        </is>
      </c>
      <c r="D187" s="42" t="inlineStr">
        <is>
          <t>Assurance</t>
        </is>
      </c>
      <c r="E187" s="42" t="inlineStr">
        <is>
          <t>Assurance (X) Twinseo contrat HAR1012515</t>
        </is>
      </c>
      <c r="F187" s="42" t="n">
        <v>14.21</v>
      </c>
      <c r="G187" s="42" t="n"/>
      <c r="H187" s="44" t="inlineStr">
        <is>
          <t>39,45</t>
        </is>
      </c>
    </row>
    <row r="188" ht="15.75" customHeight="1">
      <c r="A188" s="43" t="n">
        <v>45418</v>
      </c>
      <c r="B188" s="43" t="inlineStr">
        <is>
          <t>Prélèvement</t>
        </is>
      </c>
      <c r="C188" s="42" t="inlineStr">
        <is>
          <t>Joint</t>
        </is>
      </c>
      <c r="D188" s="42" t="inlineStr">
        <is>
          <t>Assurance</t>
        </is>
      </c>
      <c r="E188" s="42" t="inlineStr">
        <is>
          <t>Assurance (A) Twinseo contrat HAR1018934</t>
        </is>
      </c>
      <c r="F188" s="42" t="n">
        <v>14.79</v>
      </c>
      <c r="G188" s="42" t="n"/>
      <c r="H188" s="44" t="inlineStr">
        <is>
          <t>39,43</t>
        </is>
      </c>
    </row>
    <row r="189" ht="15.75" customHeight="1">
      <c r="A189" s="43" t="n">
        <v>45422</v>
      </c>
      <c r="B189" s="43" t="inlineStr">
        <is>
          <t>Prélèvement</t>
        </is>
      </c>
      <c r="C189" s="42" t="inlineStr">
        <is>
          <t>Joint</t>
        </is>
      </c>
      <c r="D189" s="42" t="inlineStr">
        <is>
          <t>Pret</t>
        </is>
      </c>
      <c r="E189" s="42" t="inlineStr">
        <is>
          <t>Echeance emprunt</t>
        </is>
      </c>
      <c r="F189" s="42" t="n">
        <v>1056.64</v>
      </c>
      <c r="G189" s="42" t="n"/>
      <c r="H189" s="44" t="inlineStr">
        <is>
          <t>39</t>
        </is>
      </c>
    </row>
    <row r="190" ht="15.75" customHeight="1">
      <c r="A190" s="43" t="n">
        <v>45448</v>
      </c>
      <c r="B190" s="43" t="inlineStr">
        <is>
          <t>Prélèvement</t>
        </is>
      </c>
      <c r="C190" s="42" t="inlineStr">
        <is>
          <t>Joint</t>
        </is>
      </c>
      <c r="D190" s="42" t="inlineStr">
        <is>
          <t>Assurance</t>
        </is>
      </c>
      <c r="E190" s="42" t="inlineStr">
        <is>
          <t>Assurance (A) Twinseo contrat HAR1018934</t>
        </is>
      </c>
      <c r="F190" s="42" t="n">
        <v>14.1</v>
      </c>
      <c r="G190" s="42" t="n"/>
      <c r="H190" s="44" t="inlineStr">
        <is>
          <t>40,43</t>
        </is>
      </c>
    </row>
    <row r="191" ht="15.75" customHeight="1">
      <c r="A191" s="43" t="n">
        <v>45448</v>
      </c>
      <c r="B191" s="43" t="inlineStr">
        <is>
          <t>Prélèvement</t>
        </is>
      </c>
      <c r="C191" s="42" t="inlineStr">
        <is>
          <t>Joint</t>
        </is>
      </c>
      <c r="D191" s="42" t="inlineStr">
        <is>
          <t>Assurance</t>
        </is>
      </c>
      <c r="E191" s="42" t="inlineStr">
        <is>
          <t>Assurance (X) Twinseo contrat HAR1012515</t>
        </is>
      </c>
      <c r="F191" s="42" t="n">
        <v>14.21</v>
      </c>
      <c r="G191" s="42" t="n"/>
      <c r="H191" s="44" t="inlineStr">
        <is>
          <t>40,45</t>
        </is>
      </c>
    </row>
    <row r="192" ht="15.75" customHeight="1">
      <c r="A192" s="43" t="n">
        <v>45453</v>
      </c>
      <c r="B192" s="43" t="inlineStr">
        <is>
          <t>Prélèvement</t>
        </is>
      </c>
      <c r="C192" s="42" t="inlineStr">
        <is>
          <t>Joint</t>
        </is>
      </c>
      <c r="D192" s="42" t="inlineStr">
        <is>
          <t>Pret</t>
        </is>
      </c>
      <c r="E192" s="42" t="inlineStr">
        <is>
          <t>Echeance emprunt</t>
        </is>
      </c>
      <c r="F192" s="42" t="n">
        <v>1056.64</v>
      </c>
      <c r="G192" s="42" t="n"/>
      <c r="H192" s="44" t="inlineStr">
        <is>
          <t>40</t>
        </is>
      </c>
    </row>
    <row r="193" ht="15.75" customHeight="1">
      <c r="A193" s="43" t="n">
        <v>45467</v>
      </c>
      <c r="B193" s="43" t="inlineStr">
        <is>
          <t>Virement</t>
        </is>
      </c>
      <c r="C193" s="42" t="inlineStr">
        <is>
          <t>Joint</t>
        </is>
      </c>
      <c r="D193" s="42" t="inlineStr">
        <is>
          <t>Charges</t>
        </is>
      </c>
      <c r="E193" s="42" t="inlineStr">
        <is>
          <t>60 euros mise en demeure</t>
        </is>
      </c>
      <c r="F193" s="42" t="n">
        <v>526.5700000000001</v>
      </c>
      <c r="G193" s="42" t="n"/>
      <c r="H193" s="44" t="inlineStr">
        <is>
          <t>57,60</t>
        </is>
      </c>
    </row>
    <row r="194" ht="15.75" customHeight="1">
      <c r="A194" s="43" t="n">
        <v>45478</v>
      </c>
      <c r="B194" s="43" t="inlineStr">
        <is>
          <t>Prélèvement</t>
        </is>
      </c>
      <c r="C194" s="42" t="inlineStr">
        <is>
          <t>Joint</t>
        </is>
      </c>
      <c r="D194" s="42" t="inlineStr">
        <is>
          <t>Assurance</t>
        </is>
      </c>
      <c r="E194" s="42" t="inlineStr">
        <is>
          <t>Assurance (A) Twinseo contrat HAR1018934</t>
        </is>
      </c>
      <c r="F194" s="42" t="n">
        <v>14.1</v>
      </c>
      <c r="G194" s="42" t="n"/>
      <c r="H194" s="44" t="inlineStr">
        <is>
          <t>41,43</t>
        </is>
      </c>
    </row>
    <row r="195" ht="15.75" customHeight="1">
      <c r="A195" s="43" t="n">
        <v>45478</v>
      </c>
      <c r="B195" s="43" t="inlineStr">
        <is>
          <t>Prélèvement</t>
        </is>
      </c>
      <c r="C195" s="42" t="inlineStr">
        <is>
          <t>Joint</t>
        </is>
      </c>
      <c r="D195" s="42" t="inlineStr">
        <is>
          <t>Assurance</t>
        </is>
      </c>
      <c r="E195" s="42" t="inlineStr">
        <is>
          <t>Assurance (X) Twinseo contrat HAR1012515</t>
        </is>
      </c>
      <c r="F195" s="42" t="n">
        <v>14.21</v>
      </c>
      <c r="G195" s="42" t="n"/>
      <c r="H195" s="44" t="inlineStr">
        <is>
          <t>41,45</t>
        </is>
      </c>
    </row>
    <row r="196" ht="15.75" customHeight="1">
      <c r="A196" s="43" t="n">
        <v>45483</v>
      </c>
      <c r="B196" s="43" t="inlineStr">
        <is>
          <t>Prélèvement</t>
        </is>
      </c>
      <c r="C196" s="42" t="inlineStr">
        <is>
          <t>Joint</t>
        </is>
      </c>
      <c r="D196" s="42" t="inlineStr">
        <is>
          <t>Pret</t>
        </is>
      </c>
      <c r="E196" s="42" t="inlineStr">
        <is>
          <t>Echeance emprunt</t>
        </is>
      </c>
      <c r="F196" s="42" t="n">
        <v>1056.64</v>
      </c>
      <c r="G196" s="42" t="n"/>
      <c r="H196" s="44" t="inlineStr">
        <is>
          <t>41</t>
        </is>
      </c>
    </row>
    <row r="197" ht="15.75" customHeight="1">
      <c r="A197" s="45" t="n">
        <v>45493</v>
      </c>
      <c r="B197" s="42" t="inlineStr">
        <is>
          <t>Cash</t>
        </is>
      </c>
      <c r="C197" s="42" t="n"/>
      <c r="D197" s="42" t="inlineStr">
        <is>
          <t>Meuble</t>
        </is>
      </c>
      <c r="E197" s="42" t="inlineStr">
        <is>
          <t>9900432001200074200724 Cadre lit support</t>
        </is>
      </c>
      <c r="F197" s="46" t="n">
        <v>20</v>
      </c>
      <c r="G197" s="42" t="n"/>
      <c r="H197" s="44" t="inlineStr">
        <is>
          <t>128</t>
        </is>
      </c>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c r="A198" s="45" t="n">
        <v>45493</v>
      </c>
      <c r="B198" s="42" t="inlineStr">
        <is>
          <t>Cash</t>
        </is>
      </c>
      <c r="C198" s="42" t="n"/>
      <c r="D198" s="42" t="inlineStr">
        <is>
          <t>Meuble</t>
        </is>
      </c>
      <c r="E198" s="42" t="inlineStr">
        <is>
          <t>9900432005100017200724 Cadre lit</t>
        </is>
      </c>
      <c r="F198" s="46" t="n">
        <v>169.15</v>
      </c>
      <c r="G198" s="42" t="n"/>
      <c r="H198" s="44" t="inlineStr">
        <is>
          <t>127</t>
        </is>
      </c>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c r="A199" s="45" t="n">
        <v>45500</v>
      </c>
      <c r="B199" s="42" t="inlineStr">
        <is>
          <t>Cash</t>
        </is>
      </c>
      <c r="C199" s="42" t="n"/>
      <c r="D199" s="42" t="inlineStr">
        <is>
          <t>Meuble</t>
        </is>
      </c>
      <c r="E199" s="42" t="inlineStr">
        <is>
          <t>9900432003200085230724 Chaise</t>
        </is>
      </c>
      <c r="F199" s="46" t="n">
        <v>39.99</v>
      </c>
      <c r="G199" s="42" t="n"/>
      <c r="H199" s="44" t="inlineStr">
        <is>
          <t>129</t>
        </is>
      </c>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c r="A200" s="43" t="n">
        <v>45509</v>
      </c>
      <c r="B200" s="43" t="inlineStr">
        <is>
          <t>Prélèvement</t>
        </is>
      </c>
      <c r="C200" s="42" t="inlineStr">
        <is>
          <t>Joint</t>
        </is>
      </c>
      <c r="D200" s="42" t="inlineStr">
        <is>
          <t>Assurance</t>
        </is>
      </c>
      <c r="E200" s="42" t="inlineStr">
        <is>
          <t>Assurance (A) Twinseo contrat HAR1018934</t>
        </is>
      </c>
      <c r="F200" s="42" t="n">
        <v>14.1</v>
      </c>
      <c r="G200" s="42" t="n"/>
      <c r="H200" s="44" t="inlineStr">
        <is>
          <t>48,43</t>
        </is>
      </c>
    </row>
    <row r="201" ht="15.75" customHeight="1">
      <c r="A201" s="43" t="n">
        <v>45509</v>
      </c>
      <c r="B201" s="43" t="inlineStr">
        <is>
          <t>Prélèvement</t>
        </is>
      </c>
      <c r="C201" s="42" t="inlineStr">
        <is>
          <t>Joint</t>
        </is>
      </c>
      <c r="D201" s="42" t="inlineStr">
        <is>
          <t>Assurance</t>
        </is>
      </c>
      <c r="E201" s="42" t="inlineStr">
        <is>
          <t>Assurance (X) Twinseo contrat HAR1012515</t>
        </is>
      </c>
      <c r="F201" s="42" t="n">
        <v>14.21</v>
      </c>
      <c r="G201" s="42" t="n"/>
      <c r="H201" s="44" t="inlineStr">
        <is>
          <t>48,45</t>
        </is>
      </c>
    </row>
    <row r="202" ht="15.75" customHeight="1">
      <c r="A202" s="43" t="n">
        <v>45515</v>
      </c>
      <c r="B202" s="42" t="inlineStr">
        <is>
          <t>CB</t>
        </is>
      </c>
      <c r="C202" s="42" t="n"/>
      <c r="D202" s="42" t="inlineStr">
        <is>
          <t>Gestion</t>
        </is>
      </c>
      <c r="E202" s="42" t="inlineStr">
        <is>
          <t>TELEDEC 2021-2022-2023</t>
        </is>
      </c>
      <c r="F202" s="42" t="n">
        <v>106.8</v>
      </c>
      <c r="G202" s="42" t="n"/>
      <c r="H202" s="44" t="inlineStr">
        <is>
          <t>141</t>
        </is>
      </c>
    </row>
    <row r="203" ht="15.75" customHeight="1">
      <c r="A203" s="43" t="n">
        <v>45516</v>
      </c>
      <c r="B203" s="43" t="inlineStr">
        <is>
          <t>Prélèvement</t>
        </is>
      </c>
      <c r="C203" s="42" t="inlineStr">
        <is>
          <t>Joint</t>
        </is>
      </c>
      <c r="D203" s="42" t="inlineStr">
        <is>
          <t>Pret</t>
        </is>
      </c>
      <c r="E203" s="42" t="inlineStr">
        <is>
          <t>Echeance emprunt</t>
        </is>
      </c>
      <c r="F203" s="42" t="n">
        <v>1056.64</v>
      </c>
      <c r="G203" s="42" t="n"/>
      <c r="H203" s="44" t="inlineStr">
        <is>
          <t>48</t>
        </is>
      </c>
    </row>
    <row r="204" ht="15.75" customHeight="1">
      <c r="A204" s="43" t="n">
        <v>45523</v>
      </c>
      <c r="B204" s="43" t="n"/>
      <c r="C204" s="42" t="n"/>
      <c r="D204" s="42" t="inlineStr">
        <is>
          <t>Charges</t>
        </is>
      </c>
      <c r="E204" s="42" t="n"/>
      <c r="F204" s="42" t="n">
        <v>466.59</v>
      </c>
      <c r="G204" s="42" t="n"/>
      <c r="H204" s="44" t="inlineStr">
        <is>
          <t>58</t>
        </is>
      </c>
    </row>
    <row r="205" ht="15.75" customHeight="1">
      <c r="A205" s="43" t="n">
        <v>45525</v>
      </c>
      <c r="B205" s="42" t="inlineStr">
        <is>
          <t>Virement</t>
        </is>
      </c>
      <c r="C205" s="42" t="inlineStr">
        <is>
          <t>Joint</t>
        </is>
      </c>
      <c r="D205" s="42" t="inlineStr">
        <is>
          <t>Provision</t>
        </is>
      </c>
      <c r="E205" s="42" t="inlineStr">
        <is>
          <t>Prorata 13 aout / 31 aout</t>
        </is>
      </c>
      <c r="F205" s="42" t="n"/>
      <c r="G205" s="42" t="n">
        <v>73</v>
      </c>
      <c r="H205" s="44" t="inlineStr">
        <is>
          <t>48,52</t>
        </is>
      </c>
    </row>
    <row r="206" ht="15.75" customHeight="1">
      <c r="A206" s="43" t="n">
        <v>45525</v>
      </c>
      <c r="B206" s="42" t="inlineStr">
        <is>
          <t>Virement</t>
        </is>
      </c>
      <c r="C206" s="42" t="inlineStr">
        <is>
          <t>Joint</t>
        </is>
      </c>
      <c r="D206" s="42" t="inlineStr">
        <is>
          <t>Loyer</t>
        </is>
      </c>
      <c r="E206" s="42" t="inlineStr">
        <is>
          <t>Prorata 13 aout / 31 aout</t>
        </is>
      </c>
      <c r="F206" s="42" t="n"/>
      <c r="G206" s="42" t="n">
        <v>644</v>
      </c>
      <c r="H206" s="44" t="inlineStr">
        <is>
          <t>48,52</t>
        </is>
      </c>
    </row>
    <row r="207" ht="15.75" customHeight="1">
      <c r="A207" s="43" t="n">
        <v>45525</v>
      </c>
      <c r="B207" s="42" t="inlineStr">
        <is>
          <t>Virement</t>
        </is>
      </c>
      <c r="C207" s="42" t="inlineStr">
        <is>
          <t>Joint</t>
        </is>
      </c>
      <c r="D207" s="42" t="inlineStr">
        <is>
          <t>Caution</t>
        </is>
      </c>
      <c r="E207" s="42" t="inlineStr">
        <is>
          <t>2 mois de loyer (virement unique avec 1er loyer)</t>
        </is>
      </c>
      <c r="F207" s="42" t="n"/>
      <c r="G207" s="42" t="n">
        <v>2100</v>
      </c>
      <c r="H207" s="44" t="inlineStr">
        <is>
          <t>48</t>
        </is>
      </c>
    </row>
    <row r="208" ht="15.75" customHeight="1">
      <c r="A208" s="43" t="n">
        <v>45538</v>
      </c>
      <c r="B208" s="42" t="inlineStr">
        <is>
          <t>Virement</t>
        </is>
      </c>
      <c r="C208" s="42" t="inlineStr">
        <is>
          <t>Joint</t>
        </is>
      </c>
      <c r="D208" s="42" t="inlineStr">
        <is>
          <t>Provision</t>
        </is>
      </c>
      <c r="E208" s="42" t="n"/>
      <c r="F208" s="42" t="n"/>
      <c r="G208" s="42" t="n">
        <v>120</v>
      </c>
      <c r="H208" s="44" t="inlineStr">
        <is>
          <t>49,53</t>
        </is>
      </c>
    </row>
    <row r="209" ht="15.75" customHeight="1">
      <c r="A209" s="43" t="n">
        <v>45538</v>
      </c>
      <c r="B209" s="42" t="inlineStr">
        <is>
          <t>Virement</t>
        </is>
      </c>
      <c r="C209" s="42" t="inlineStr">
        <is>
          <t>Joint</t>
        </is>
      </c>
      <c r="D209" s="42" t="inlineStr">
        <is>
          <t>Loyer</t>
        </is>
      </c>
      <c r="E209" s="42" t="n"/>
      <c r="F209" s="42" t="n"/>
      <c r="G209" s="42" t="n">
        <v>1050</v>
      </c>
      <c r="H209" s="44" t="inlineStr">
        <is>
          <t>49,53</t>
        </is>
      </c>
    </row>
    <row r="210" ht="15.75" customHeight="1">
      <c r="A210" s="43" t="n">
        <v>45540</v>
      </c>
      <c r="B210" s="43" t="inlineStr">
        <is>
          <t>Prélèvement</t>
        </is>
      </c>
      <c r="C210" s="42" t="inlineStr">
        <is>
          <t>Joint</t>
        </is>
      </c>
      <c r="D210" s="42" t="inlineStr">
        <is>
          <t>Assurance</t>
        </is>
      </c>
      <c r="E210" s="42" t="inlineStr">
        <is>
          <t>Assurance (A) Twinseo contrat HAR1018934</t>
        </is>
      </c>
      <c r="F210" s="42" t="n">
        <v>14.1</v>
      </c>
      <c r="G210" s="42" t="n"/>
      <c r="H210" s="44" t="inlineStr">
        <is>
          <t>49,43</t>
        </is>
      </c>
    </row>
    <row r="211" ht="15.75" customHeight="1">
      <c r="A211" s="43" t="n">
        <v>45540</v>
      </c>
      <c r="B211" s="43" t="inlineStr">
        <is>
          <t>Prélèvement</t>
        </is>
      </c>
      <c r="C211" s="42" t="inlineStr">
        <is>
          <t>Joint</t>
        </is>
      </c>
      <c r="D211" s="42" t="inlineStr">
        <is>
          <t>Assurance</t>
        </is>
      </c>
      <c r="E211" s="42" t="inlineStr">
        <is>
          <t>Assurance (X) Twinseo contrat HAR1012515</t>
        </is>
      </c>
      <c r="F211" s="42" t="n">
        <v>14.21</v>
      </c>
      <c r="G211" s="42" t="n"/>
      <c r="H211" s="44" t="inlineStr">
        <is>
          <t>49,45</t>
        </is>
      </c>
    </row>
    <row r="212" ht="15.75" customHeight="1">
      <c r="A212" s="43" t="n">
        <v>45545</v>
      </c>
      <c r="B212" s="43" t="inlineStr">
        <is>
          <t>Prélèvement</t>
        </is>
      </c>
      <c r="C212" s="42" t="inlineStr">
        <is>
          <t>Joint</t>
        </is>
      </c>
      <c r="D212" s="42" t="inlineStr">
        <is>
          <t>Pret</t>
        </is>
      </c>
      <c r="E212" s="42" t="inlineStr">
        <is>
          <t>Echeance emprunt</t>
        </is>
      </c>
      <c r="F212" s="42" t="n">
        <v>1056.64</v>
      </c>
      <c r="G212" s="42" t="n"/>
      <c r="H212" s="44" t="inlineStr">
        <is>
          <t>49</t>
        </is>
      </c>
    </row>
    <row r="213" ht="15.75" customHeight="1">
      <c r="A213" s="43" t="n">
        <v>45569</v>
      </c>
      <c r="B213" s="42" t="inlineStr">
        <is>
          <t>Virement</t>
        </is>
      </c>
      <c r="C213" s="42" t="inlineStr">
        <is>
          <t>Joint</t>
        </is>
      </c>
      <c r="D213" s="42" t="inlineStr">
        <is>
          <t>Provision</t>
        </is>
      </c>
      <c r="E213" s="42" t="n"/>
      <c r="F213" s="42" t="n"/>
      <c r="G213" s="42" t="n">
        <v>120</v>
      </c>
      <c r="H213" s="44" t="inlineStr">
        <is>
          <t>50</t>
        </is>
      </c>
    </row>
    <row r="214" ht="15.75" customHeight="1">
      <c r="A214" s="43" t="n">
        <v>45569</v>
      </c>
      <c r="B214" s="42" t="inlineStr">
        <is>
          <t>Virement</t>
        </is>
      </c>
      <c r="C214" s="42" t="inlineStr">
        <is>
          <t>Joint</t>
        </is>
      </c>
      <c r="D214" s="42" t="inlineStr">
        <is>
          <t>Loyer</t>
        </is>
      </c>
      <c r="E214" s="42" t="n"/>
      <c r="F214" s="42" t="n"/>
      <c r="G214" s="42" t="n">
        <v>1050</v>
      </c>
      <c r="H214" s="44" t="inlineStr">
        <is>
          <t>50</t>
        </is>
      </c>
    </row>
    <row r="215" ht="15.75" customHeight="1">
      <c r="A215" s="43" t="n">
        <v>45572</v>
      </c>
      <c r="B215" s="43" t="inlineStr">
        <is>
          <t>Prélèvement</t>
        </is>
      </c>
      <c r="C215" s="42" t="inlineStr">
        <is>
          <t>Joint</t>
        </is>
      </c>
      <c r="D215" s="42" t="inlineStr">
        <is>
          <t>Assurance</t>
        </is>
      </c>
      <c r="E215" s="42" t="inlineStr">
        <is>
          <t>Assurance (A) Twinseo contrat HAR1018934</t>
        </is>
      </c>
      <c r="F215" s="42" t="n">
        <v>14.1</v>
      </c>
      <c r="G215" s="42" t="n"/>
      <c r="H215" s="44" t="inlineStr">
        <is>
          <t>50,43</t>
        </is>
      </c>
    </row>
    <row r="216" ht="15.75" customHeight="1">
      <c r="A216" s="43" t="n">
        <v>45572</v>
      </c>
      <c r="B216" s="43" t="inlineStr">
        <is>
          <t>Prélèvement</t>
        </is>
      </c>
      <c r="C216" s="42" t="inlineStr">
        <is>
          <t>Joint</t>
        </is>
      </c>
      <c r="D216" s="42" t="inlineStr">
        <is>
          <t>Assurance</t>
        </is>
      </c>
      <c r="E216" s="42" t="inlineStr">
        <is>
          <t>Assurance (X) Twinseo contrat HAR1012515</t>
        </is>
      </c>
      <c r="F216" s="42" t="n">
        <v>14.21</v>
      </c>
      <c r="G216" s="42" t="n"/>
      <c r="H216" s="44" t="inlineStr">
        <is>
          <t>50,45</t>
        </is>
      </c>
    </row>
    <row r="217" ht="15.75" customHeight="1">
      <c r="A217" s="43" t="n">
        <v>45575</v>
      </c>
      <c r="B217" s="43" t="inlineStr">
        <is>
          <t>Prélèvement</t>
        </is>
      </c>
      <c r="C217" s="42" t="inlineStr">
        <is>
          <t>Joint</t>
        </is>
      </c>
      <c r="D217" s="42" t="inlineStr">
        <is>
          <t>Pret</t>
        </is>
      </c>
      <c r="E217" s="42" t="inlineStr">
        <is>
          <t>Echeance emprunt</t>
        </is>
      </c>
      <c r="F217" s="42" t="n">
        <v>1056.64</v>
      </c>
      <c r="G217" s="42" t="n"/>
      <c r="H217" s="44" t="inlineStr">
        <is>
          <t>50</t>
        </is>
      </c>
    </row>
    <row r="218" ht="15.75" customHeight="1">
      <c r="A218" s="43" t="n">
        <v>45596</v>
      </c>
      <c r="B218" s="42" t="inlineStr">
        <is>
          <t>Virement</t>
        </is>
      </c>
      <c r="C218" s="42" t="inlineStr">
        <is>
          <t>Joint</t>
        </is>
      </c>
      <c r="D218" s="42" t="inlineStr">
        <is>
          <t>Provision</t>
        </is>
      </c>
      <c r="E218" s="42" t="n"/>
      <c r="F218" s="42" t="n"/>
      <c r="G218" s="42" t="n">
        <v>120</v>
      </c>
      <c r="H218" s="44" t="inlineStr">
        <is>
          <t>51</t>
        </is>
      </c>
    </row>
    <row r="219" ht="15.75" customHeight="1">
      <c r="A219" s="43" t="n">
        <v>45596</v>
      </c>
      <c r="B219" s="42" t="inlineStr">
        <is>
          <t>Virement</t>
        </is>
      </c>
      <c r="C219" s="42" t="inlineStr">
        <is>
          <t>Joint</t>
        </is>
      </c>
      <c r="D219" s="42" t="inlineStr">
        <is>
          <t>Loyer</t>
        </is>
      </c>
      <c r="E219" s="42" t="n"/>
      <c r="F219" s="42" t="n"/>
      <c r="G219" s="42" t="n">
        <v>1050</v>
      </c>
      <c r="H219" s="44" t="inlineStr">
        <is>
          <t>51</t>
        </is>
      </c>
    </row>
    <row r="220" ht="15.75" customHeight="1">
      <c r="A220" s="43" t="n">
        <v>45601</v>
      </c>
      <c r="B220" s="43" t="inlineStr">
        <is>
          <t>Prélèvement</t>
        </is>
      </c>
      <c r="C220" s="42" t="inlineStr">
        <is>
          <t>Joint</t>
        </is>
      </c>
      <c r="D220" s="42" t="inlineStr">
        <is>
          <t>Assurance</t>
        </is>
      </c>
      <c r="E220" s="42" t="inlineStr">
        <is>
          <t>Assurance (A) Twinseo contrat HAR1018934</t>
        </is>
      </c>
      <c r="F220" s="42" t="n">
        <v>14.1</v>
      </c>
      <c r="G220" s="42" t="n"/>
      <c r="H220" s="44" t="inlineStr">
        <is>
          <t>51,43</t>
        </is>
      </c>
    </row>
    <row r="221" ht="15.75" customHeight="1">
      <c r="A221" s="43" t="n">
        <v>45601</v>
      </c>
      <c r="B221" s="43" t="inlineStr">
        <is>
          <t>Prélèvement</t>
        </is>
      </c>
      <c r="C221" s="42" t="inlineStr">
        <is>
          <t>Joint</t>
        </is>
      </c>
      <c r="D221" s="42" t="inlineStr">
        <is>
          <t>Assurance</t>
        </is>
      </c>
      <c r="E221" s="42" t="inlineStr">
        <is>
          <t>Assurance (X) Twinseo contrat HAR1012515</t>
        </is>
      </c>
      <c r="F221" s="42" t="n">
        <v>14.21</v>
      </c>
      <c r="G221" s="42" t="n"/>
      <c r="H221" s="44" t="inlineStr">
        <is>
          <t>51,45</t>
        </is>
      </c>
    </row>
    <row r="222" ht="15.75" customHeight="1">
      <c r="A222" s="43" t="n">
        <v>45602</v>
      </c>
      <c r="B222" s="43" t="inlineStr">
        <is>
          <t>Prélèvement</t>
        </is>
      </c>
      <c r="C222" s="42" t="inlineStr">
        <is>
          <t>Joint</t>
        </is>
      </c>
      <c r="D222" s="42" t="inlineStr">
        <is>
          <t>Charges</t>
        </is>
      </c>
      <c r="E222" s="42" t="n"/>
      <c r="F222" s="42" t="n">
        <v>466.57</v>
      </c>
      <c r="G222" s="42" t="n"/>
      <c r="H222" s="44" t="inlineStr">
        <is>
          <t>51,59</t>
        </is>
      </c>
    </row>
    <row r="223" ht="15.75" customHeight="1">
      <c r="A223" s="43" t="n">
        <v>45608</v>
      </c>
      <c r="B223" s="43" t="inlineStr">
        <is>
          <t>Prélèvement</t>
        </is>
      </c>
      <c r="C223" s="42" t="inlineStr">
        <is>
          <t>Joint</t>
        </is>
      </c>
      <c r="D223" s="42" t="inlineStr">
        <is>
          <t>Pret</t>
        </is>
      </c>
      <c r="E223" s="42" t="inlineStr">
        <is>
          <t>Echeance emprunt</t>
        </is>
      </c>
      <c r="F223" s="42" t="n">
        <v>1056.64</v>
      </c>
      <c r="G223" s="42" t="n"/>
      <c r="H223" s="44" t="inlineStr">
        <is>
          <t>51</t>
        </is>
      </c>
    </row>
    <row r="224" ht="15.75" customHeight="1">
      <c r="A224" s="43" t="n">
        <v>45631</v>
      </c>
      <c r="B224" s="43" t="inlineStr">
        <is>
          <t>Prélèvement</t>
        </is>
      </c>
      <c r="C224" s="42" t="inlineStr">
        <is>
          <t>Joint</t>
        </is>
      </c>
      <c r="D224" s="42" t="inlineStr">
        <is>
          <t>Assurance</t>
        </is>
      </c>
      <c r="E224" s="42" t="inlineStr">
        <is>
          <t>Assurance (A) Twinseo contrat HAR1018934</t>
        </is>
      </c>
      <c r="F224" s="42" t="n">
        <v>14.1</v>
      </c>
      <c r="G224" s="42" t="n"/>
      <c r="H224" s="44" t="inlineStr">
        <is>
          <t>52,43</t>
        </is>
      </c>
    </row>
    <row r="225" ht="15.75" customHeight="1">
      <c r="A225" s="43" t="n">
        <v>45631</v>
      </c>
      <c r="B225" s="43" t="inlineStr">
        <is>
          <t>Prélèvement</t>
        </is>
      </c>
      <c r="C225" s="42" t="inlineStr">
        <is>
          <t>Joint</t>
        </is>
      </c>
      <c r="D225" s="42" t="inlineStr">
        <is>
          <t>Assurance</t>
        </is>
      </c>
      <c r="E225" s="42" t="inlineStr">
        <is>
          <t>Assurance (X) Twinseo contrat HAR1012515</t>
        </is>
      </c>
      <c r="F225" s="42" t="n">
        <v>14.21</v>
      </c>
      <c r="G225" s="42" t="n"/>
      <c r="H225" s="44" t="inlineStr">
        <is>
          <t>52,45</t>
        </is>
      </c>
    </row>
    <row r="226" ht="15.75" customHeight="1">
      <c r="A226" s="43" t="n">
        <v>45631</v>
      </c>
      <c r="B226" s="42" t="inlineStr">
        <is>
          <t>Virement</t>
        </is>
      </c>
      <c r="C226" s="42" t="inlineStr">
        <is>
          <t>Joint</t>
        </is>
      </c>
      <c r="D226" s="42" t="inlineStr">
        <is>
          <t>Provision</t>
        </is>
      </c>
      <c r="E226" s="42" t="n"/>
      <c r="F226" s="42" t="n"/>
      <c r="G226" s="42" t="n">
        <v>120</v>
      </c>
      <c r="H226" s="44" t="inlineStr">
        <is>
          <t>52</t>
        </is>
      </c>
    </row>
    <row r="227" ht="15.75" customHeight="1">
      <c r="A227" s="43" t="n">
        <v>45631</v>
      </c>
      <c r="B227" s="42" t="inlineStr">
        <is>
          <t>Virement</t>
        </is>
      </c>
      <c r="C227" s="42" t="inlineStr">
        <is>
          <t>Joint</t>
        </is>
      </c>
      <c r="D227" s="42" t="inlineStr">
        <is>
          <t>Loyer</t>
        </is>
      </c>
      <c r="E227" s="42" t="n"/>
      <c r="F227" s="42" t="n"/>
      <c r="G227" s="42" t="n">
        <v>1050</v>
      </c>
      <c r="H227" s="44" t="inlineStr">
        <is>
          <t>52</t>
        </is>
      </c>
    </row>
    <row r="228" ht="15.75" customHeight="1">
      <c r="A228" s="47" t="n">
        <v>45636</v>
      </c>
      <c r="B228" t="inlineStr">
        <is>
          <t>Prélèvement</t>
        </is>
      </c>
      <c r="C228" t="inlineStr">
        <is>
          <t>Joint</t>
        </is>
      </c>
      <c r="D228" t="inlineStr">
        <is>
          <t>Pret</t>
        </is>
      </c>
      <c r="E228" t="inlineStr">
        <is>
          <t>Echeance emprunt</t>
        </is>
      </c>
      <c r="F228" t="n">
        <v>1056.64</v>
      </c>
      <c r="H228" t="inlineStr">
        <is>
          <t>52</t>
        </is>
      </c>
    </row>
    <row r="229" ht="15.75" customHeight="1">
      <c r="A229" s="43" t="n">
        <v>45751</v>
      </c>
      <c r="B229" s="43" t="inlineStr">
        <is>
          <t>Prélèvement</t>
        </is>
      </c>
      <c r="C229" s="42" t="inlineStr">
        <is>
          <t>Bourso</t>
        </is>
      </c>
      <c r="D229" s="42" t="inlineStr">
        <is>
          <t>PNO</t>
        </is>
      </c>
      <c r="E229" s="42" t="n"/>
      <c r="F229" s="42" t="n">
        <v>127.5</v>
      </c>
      <c r="G229" s="42" t="n"/>
      <c r="H229" s="44" t="inlineStr">
        <is>
          <t>54</t>
        </is>
      </c>
    </row>
    <row r="230" ht="15.75" customHeight="1">
      <c r="A230" s="43" t="n">
        <v>45996</v>
      </c>
      <c r="B230" s="43" t="inlineStr">
        <is>
          <t>Prélèvement</t>
        </is>
      </c>
      <c r="C230" s="42" t="inlineStr">
        <is>
          <t>Joint</t>
        </is>
      </c>
      <c r="D230" s="42" t="inlineStr">
        <is>
          <t>Assurance</t>
        </is>
      </c>
      <c r="E230" s="42" t="inlineStr">
        <is>
          <t>Assurance (A) Twinseo contrat HAR1018934</t>
        </is>
      </c>
      <c r="F230" s="42" t="n">
        <v>14.1</v>
      </c>
      <c r="G230" s="42" t="n"/>
      <c r="H230" s="42" t="n"/>
    </row>
    <row r="231" ht="15.75" customHeight="1">
      <c r="A231" s="43" t="n">
        <v>45996</v>
      </c>
      <c r="B231" s="43" t="inlineStr">
        <is>
          <t>Prélèvement</t>
        </is>
      </c>
      <c r="C231" s="42" t="inlineStr">
        <is>
          <t>Joint</t>
        </is>
      </c>
      <c r="D231" s="42" t="inlineStr">
        <is>
          <t>Assurance</t>
        </is>
      </c>
      <c r="E231" s="42" t="inlineStr">
        <is>
          <t>Assurance (X) Twinseo contrat HAR1012515</t>
        </is>
      </c>
      <c r="F231" s="42" t="n">
        <v>14.21</v>
      </c>
      <c r="G231" s="42" t="n"/>
      <c r="H231" s="42" t="n"/>
    </row>
    <row r="232" ht="15.75" customHeight="1">
      <c r="A232" s="43" t="n">
        <v>45996</v>
      </c>
      <c r="B232" s="43" t="inlineStr">
        <is>
          <t>Prélèvement</t>
        </is>
      </c>
      <c r="C232" s="42" t="inlineStr">
        <is>
          <t>Joint</t>
        </is>
      </c>
      <c r="D232" s="42" t="inlineStr">
        <is>
          <t>Assurance</t>
        </is>
      </c>
      <c r="E232" s="42" t="inlineStr">
        <is>
          <t>Assurance (A) Twinseo contrat HAR1018934</t>
        </is>
      </c>
      <c r="F232" s="42" t="n">
        <v>14.1</v>
      </c>
      <c r="G232" s="42" t="n"/>
      <c r="H232" s="42" t="n"/>
    </row>
    <row r="233" ht="15.75" customHeight="1">
      <c r="A233" s="43" t="n">
        <v>45996</v>
      </c>
      <c r="B233" s="43" t="inlineStr">
        <is>
          <t>Prélèvement</t>
        </is>
      </c>
      <c r="C233" s="42" t="inlineStr">
        <is>
          <t>Joint</t>
        </is>
      </c>
      <c r="D233" s="42" t="inlineStr">
        <is>
          <t>Assurance</t>
        </is>
      </c>
      <c r="E233" s="42" t="inlineStr">
        <is>
          <t>Assurance (X) Twinseo contrat HAR1012515</t>
        </is>
      </c>
      <c r="F233" s="42" t="n">
        <v>14.21</v>
      </c>
      <c r="G233" s="42" t="n"/>
      <c r="H233" s="42" t="n"/>
    </row>
    <row r="234" ht="15.75" customHeight="1">
      <c r="A234" s="43" t="n">
        <v>45996</v>
      </c>
      <c r="B234" s="43" t="inlineStr">
        <is>
          <t>Prélèvement</t>
        </is>
      </c>
      <c r="C234" s="42" t="inlineStr">
        <is>
          <t>Joint</t>
        </is>
      </c>
      <c r="D234" s="42" t="inlineStr">
        <is>
          <t>Assurance</t>
        </is>
      </c>
      <c r="E234" s="42" t="inlineStr">
        <is>
          <t>Assurance (A) Twinseo contrat HAR1018934</t>
        </is>
      </c>
      <c r="F234" s="42" t="n">
        <v>14.1</v>
      </c>
      <c r="G234" s="42" t="n"/>
      <c r="H234" s="42" t="n"/>
    </row>
    <row r="235" ht="15.75" customHeight="1">
      <c r="A235" s="43" t="n">
        <v>45996</v>
      </c>
      <c r="B235" s="43" t="inlineStr">
        <is>
          <t>Prélèvement</t>
        </is>
      </c>
      <c r="C235" s="42" t="inlineStr">
        <is>
          <t>Joint</t>
        </is>
      </c>
      <c r="D235" s="42" t="inlineStr">
        <is>
          <t>Assurance</t>
        </is>
      </c>
      <c r="E235" s="42" t="inlineStr">
        <is>
          <t>Assurance (X) Twinseo contrat HAR1012515</t>
        </is>
      </c>
      <c r="F235" s="42" t="n">
        <v>14.21</v>
      </c>
      <c r="G235" s="42" t="n"/>
      <c r="H235" s="42" t="n"/>
    </row>
    <row r="236" ht="15.75" customHeight="1">
      <c r="A236" s="43" t="n">
        <v>45996</v>
      </c>
      <c r="B236" s="43" t="inlineStr">
        <is>
          <t>Prélèvement</t>
        </is>
      </c>
      <c r="C236" s="42" t="inlineStr">
        <is>
          <t>Joint</t>
        </is>
      </c>
      <c r="D236" s="42" t="inlineStr">
        <is>
          <t>Assurance</t>
        </is>
      </c>
      <c r="E236" s="42" t="inlineStr">
        <is>
          <t>Assurance (A) Twinseo contrat HAR1018934</t>
        </is>
      </c>
      <c r="F236" s="42" t="n">
        <v>14.1</v>
      </c>
      <c r="G236" s="42" t="n"/>
      <c r="H236" s="42" t="n"/>
    </row>
    <row r="237" ht="15.75" customHeight="1">
      <c r="A237" s="43" t="n">
        <v>45996</v>
      </c>
      <c r="B237" s="43" t="inlineStr">
        <is>
          <t>Prélèvement</t>
        </is>
      </c>
      <c r="C237" s="42" t="inlineStr">
        <is>
          <t>Joint</t>
        </is>
      </c>
      <c r="D237" s="42" t="inlineStr">
        <is>
          <t>Assurance</t>
        </is>
      </c>
      <c r="E237" s="42" t="inlineStr">
        <is>
          <t>Assurance (X) Twinseo contrat HAR1012515</t>
        </is>
      </c>
      <c r="F237" s="42" t="n">
        <v>14.21</v>
      </c>
      <c r="G237" s="42" t="n"/>
      <c r="H237" s="42" t="n"/>
    </row>
    <row r="238" ht="15.75" customHeight="1">
      <c r="A238" s="43" t="n">
        <v>45996</v>
      </c>
      <c r="B238" s="43" t="inlineStr">
        <is>
          <t>Prélèvement</t>
        </is>
      </c>
      <c r="C238" s="42" t="inlineStr">
        <is>
          <t>Joint</t>
        </is>
      </c>
      <c r="D238" s="42" t="inlineStr">
        <is>
          <t>Assurance</t>
        </is>
      </c>
      <c r="E238" s="42" t="inlineStr">
        <is>
          <t>Assurance (A) Twinseo contrat HAR1018934</t>
        </is>
      </c>
      <c r="F238" s="42" t="n">
        <v>14.1</v>
      </c>
      <c r="G238" s="42" t="n"/>
      <c r="H238" s="42" t="n"/>
    </row>
    <row r="239" ht="15.75" customHeight="1">
      <c r="A239" s="43" t="n">
        <v>45996</v>
      </c>
      <c r="B239" s="43" t="inlineStr">
        <is>
          <t>Prélèvement</t>
        </is>
      </c>
      <c r="C239" s="42" t="inlineStr">
        <is>
          <t>Joint</t>
        </is>
      </c>
      <c r="D239" s="42" t="inlineStr">
        <is>
          <t>Assurance</t>
        </is>
      </c>
      <c r="E239" s="42" t="inlineStr">
        <is>
          <t>Assurance (X) Twinseo contrat HAR1012515</t>
        </is>
      </c>
      <c r="F239" s="42" t="n">
        <v>14.21</v>
      </c>
      <c r="G239" s="42" t="n"/>
      <c r="H239" s="42" t="n"/>
    </row>
    <row r="240" ht="15.75" customHeight="1">
      <c r="A240" s="43" t="n">
        <v>45996</v>
      </c>
      <c r="B240" s="43" t="inlineStr">
        <is>
          <t>Prélèvement</t>
        </is>
      </c>
      <c r="C240" s="42" t="inlineStr">
        <is>
          <t>Joint</t>
        </is>
      </c>
      <c r="D240" s="42" t="inlineStr">
        <is>
          <t>Assurance</t>
        </is>
      </c>
      <c r="E240" s="42" t="inlineStr">
        <is>
          <t>Assurance (A) Twinseo contrat HAR1018934</t>
        </is>
      </c>
      <c r="F240" s="42" t="n">
        <v>14.1</v>
      </c>
      <c r="G240" s="42" t="n"/>
      <c r="H240" s="42" t="n"/>
    </row>
    <row r="241" ht="15.75" customHeight="1">
      <c r="A241" s="43" t="n">
        <v>45996</v>
      </c>
      <c r="B241" s="43" t="inlineStr">
        <is>
          <t>Prélèvement</t>
        </is>
      </c>
      <c r="C241" s="42" t="inlineStr">
        <is>
          <t>Joint</t>
        </is>
      </c>
      <c r="D241" s="42" t="inlineStr">
        <is>
          <t>Assurance</t>
        </is>
      </c>
      <c r="E241" s="42" t="inlineStr">
        <is>
          <t>Assurance (X) Twinseo contrat HAR1012515</t>
        </is>
      </c>
      <c r="F241" s="42" t="n">
        <v>14.21</v>
      </c>
      <c r="G241" s="42" t="n"/>
      <c r="H241" s="42" t="n"/>
    </row>
    <row r="242" ht="15.75" customHeight="1">
      <c r="A242" s="43" t="n">
        <v>45996</v>
      </c>
      <c r="B242" s="43" t="inlineStr">
        <is>
          <t>Prélèvement</t>
        </is>
      </c>
      <c r="C242" s="42" t="inlineStr">
        <is>
          <t>Joint</t>
        </is>
      </c>
      <c r="D242" s="42" t="inlineStr">
        <is>
          <t>Assurance</t>
        </is>
      </c>
      <c r="E242" s="42" t="inlineStr">
        <is>
          <t>Assurance (A) Twinseo contrat HAR1018934</t>
        </is>
      </c>
      <c r="F242" s="42" t="n">
        <v>14.1</v>
      </c>
      <c r="G242" s="42" t="n"/>
      <c r="H242" s="42" t="n"/>
    </row>
    <row r="243" ht="15.75" customHeight="1">
      <c r="A243" s="43" t="n">
        <v>45996</v>
      </c>
      <c r="B243" s="43" t="inlineStr">
        <is>
          <t>Prélèvement</t>
        </is>
      </c>
      <c r="C243" s="42" t="inlineStr">
        <is>
          <t>Joint</t>
        </is>
      </c>
      <c r="D243" s="42" t="inlineStr">
        <is>
          <t>Assurance</t>
        </is>
      </c>
      <c r="E243" s="42" t="inlineStr">
        <is>
          <t>Assurance (X) Twinseo contrat HAR1012515</t>
        </is>
      </c>
      <c r="F243" s="42" t="n">
        <v>14.21</v>
      </c>
      <c r="G243" s="42" t="n"/>
      <c r="H243" s="42" t="n"/>
    </row>
    <row r="244" ht="15.75" customHeight="1">
      <c r="A244" s="43" t="n">
        <v>45996</v>
      </c>
      <c r="B244" s="43" t="inlineStr">
        <is>
          <t>Prélèvement</t>
        </is>
      </c>
      <c r="C244" s="42" t="inlineStr">
        <is>
          <t>Joint</t>
        </is>
      </c>
      <c r="D244" s="42" t="inlineStr">
        <is>
          <t>Assurance</t>
        </is>
      </c>
      <c r="E244" s="42" t="inlineStr">
        <is>
          <t>Assurance (A) Twinseo contrat HAR1018934</t>
        </is>
      </c>
      <c r="F244" s="42" t="n">
        <v>14.1</v>
      </c>
      <c r="G244" s="42" t="n"/>
      <c r="H244" s="42" t="n"/>
    </row>
    <row r="245" ht="15.75" customHeight="1">
      <c r="A245" s="43" t="n">
        <v>45996</v>
      </c>
      <c r="B245" s="43" t="inlineStr">
        <is>
          <t>Prélèvement</t>
        </is>
      </c>
      <c r="C245" s="42" t="inlineStr">
        <is>
          <t>Joint</t>
        </is>
      </c>
      <c r="D245" s="42" t="inlineStr">
        <is>
          <t>Assurance</t>
        </is>
      </c>
      <c r="E245" s="42" t="inlineStr">
        <is>
          <t>Assurance (X) Twinseo contrat HAR1012515</t>
        </is>
      </c>
      <c r="F245" s="42" t="n">
        <v>14.21</v>
      </c>
      <c r="G245" s="42" t="n"/>
      <c r="H245" s="42" t="n"/>
    </row>
    <row r="246" ht="15.75" customHeight="1">
      <c r="A246" s="43" t="n">
        <v>45996</v>
      </c>
      <c r="B246" s="43" t="inlineStr">
        <is>
          <t>Prélèvement</t>
        </is>
      </c>
      <c r="C246" s="42" t="inlineStr">
        <is>
          <t>Joint</t>
        </is>
      </c>
      <c r="D246" s="42" t="inlineStr">
        <is>
          <t>Assurance</t>
        </is>
      </c>
      <c r="E246" s="42" t="inlineStr">
        <is>
          <t>Assurance (A) Twinseo contrat HAR1018934</t>
        </is>
      </c>
      <c r="F246" s="42" t="n">
        <v>14.1</v>
      </c>
      <c r="G246" s="42" t="n"/>
      <c r="H246" s="42" t="n"/>
    </row>
    <row r="247" ht="15.75" customHeight="1">
      <c r="A247" s="43" t="n">
        <v>45996</v>
      </c>
      <c r="B247" s="43" t="inlineStr">
        <is>
          <t>Prélèvement</t>
        </is>
      </c>
      <c r="C247" s="42" t="inlineStr">
        <is>
          <t>Joint</t>
        </is>
      </c>
      <c r="D247" s="42" t="inlineStr">
        <is>
          <t>Assurance</t>
        </is>
      </c>
      <c r="E247" s="42" t="inlineStr">
        <is>
          <t>Assurance (X) Twinseo contrat HAR1012515</t>
        </is>
      </c>
      <c r="F247" s="42" t="n">
        <v>14.21</v>
      </c>
      <c r="G247" s="42" t="n"/>
      <c r="H247" s="42" t="n"/>
    </row>
    <row r="248" ht="15.75" customHeight="1">
      <c r="A248" s="43" t="n">
        <v>45996</v>
      </c>
      <c r="B248" s="43" t="inlineStr">
        <is>
          <t>Prélèvement</t>
        </is>
      </c>
      <c r="C248" s="42" t="inlineStr">
        <is>
          <t>Joint</t>
        </is>
      </c>
      <c r="D248" s="42" t="inlineStr">
        <is>
          <t>Assurance</t>
        </is>
      </c>
      <c r="E248" s="42" t="inlineStr">
        <is>
          <t>Assurance (A) Twinseo contrat HAR1018934</t>
        </is>
      </c>
      <c r="F248" s="42" t="n">
        <v>14.1</v>
      </c>
      <c r="G248" s="42" t="n"/>
      <c r="H248" s="42" t="n"/>
    </row>
    <row r="249" ht="15.75" customHeight="1">
      <c r="A249" s="43" t="n">
        <v>45996</v>
      </c>
      <c r="B249" s="43" t="inlineStr">
        <is>
          <t>Prélèvement</t>
        </is>
      </c>
      <c r="C249" s="42" t="inlineStr">
        <is>
          <t>Joint</t>
        </is>
      </c>
      <c r="D249" s="42" t="inlineStr">
        <is>
          <t>Assurance</t>
        </is>
      </c>
      <c r="E249" s="42" t="inlineStr">
        <is>
          <t>Assurance (X) Twinseo contrat HAR1012515</t>
        </is>
      </c>
      <c r="F249" s="42" t="n">
        <v>14.21</v>
      </c>
      <c r="G249" s="42" t="n"/>
      <c r="H249" s="42" t="n"/>
    </row>
    <row r="250" ht="15.75" customHeight="1">
      <c r="A250" s="43" t="n">
        <v>45996</v>
      </c>
      <c r="B250" s="43" t="inlineStr">
        <is>
          <t>Prélèvement</t>
        </is>
      </c>
      <c r="C250" s="42" t="inlineStr">
        <is>
          <t>Joint</t>
        </is>
      </c>
      <c r="D250" s="42" t="inlineStr">
        <is>
          <t>Assurance</t>
        </is>
      </c>
      <c r="E250" s="42" t="inlineStr">
        <is>
          <t>Assurance (A) Twinseo contrat HAR1018934</t>
        </is>
      </c>
      <c r="F250" s="42" t="n">
        <v>14.1</v>
      </c>
      <c r="G250" s="42" t="n"/>
      <c r="H250" s="42" t="n"/>
    </row>
    <row r="251" ht="15.75" customHeight="1">
      <c r="A251" s="43" t="n">
        <v>45996</v>
      </c>
      <c r="B251" s="43" t="inlineStr">
        <is>
          <t>Prélèvement</t>
        </is>
      </c>
      <c r="C251" s="42" t="inlineStr">
        <is>
          <t>Joint</t>
        </is>
      </c>
      <c r="D251" s="42" t="inlineStr">
        <is>
          <t>Assurance</t>
        </is>
      </c>
      <c r="E251" s="42" t="inlineStr">
        <is>
          <t>Assurance (X) Twinseo contrat HAR1012515</t>
        </is>
      </c>
      <c r="F251" s="42" t="n">
        <v>14.21</v>
      </c>
      <c r="G251" s="42" t="n"/>
      <c r="H251" s="42" t="n"/>
    </row>
    <row r="252" ht="15.75" customHeight="1">
      <c r="A252" s="43" t="n">
        <v>45996</v>
      </c>
      <c r="B252" s="43" t="inlineStr">
        <is>
          <t>Prélèvement</t>
        </is>
      </c>
      <c r="C252" s="42" t="inlineStr">
        <is>
          <t>Joint</t>
        </is>
      </c>
      <c r="D252" s="42" t="inlineStr">
        <is>
          <t>Assurance</t>
        </is>
      </c>
      <c r="E252" s="42" t="inlineStr">
        <is>
          <t>Assurance (A) Twinseo contrat HAR1018934</t>
        </is>
      </c>
      <c r="F252" s="42" t="n">
        <v>14.1</v>
      </c>
      <c r="G252" s="42" t="n"/>
      <c r="H252" s="42" t="n"/>
    </row>
    <row r="253" ht="15.75" customHeight="1">
      <c r="A253" s="43" t="n">
        <v>45996</v>
      </c>
      <c r="B253" s="43" t="inlineStr">
        <is>
          <t>Prélèvement</t>
        </is>
      </c>
      <c r="C253" s="42" t="inlineStr">
        <is>
          <t>Joint</t>
        </is>
      </c>
      <c r="D253" s="42" t="inlineStr">
        <is>
          <t>Assurance</t>
        </is>
      </c>
      <c r="E253" s="42" t="inlineStr">
        <is>
          <t>Assurance (X) Twinseo contrat HAR1012515</t>
        </is>
      </c>
      <c r="F253" s="42" t="n">
        <v>14.21</v>
      </c>
      <c r="G253" s="42" t="n"/>
      <c r="H253" s="42" t="n"/>
    </row>
    <row r="254" ht="15.75" customHeight="1">
      <c r="A254" s="43" t="n">
        <v>45934</v>
      </c>
      <c r="B254" s="42" t="inlineStr">
        <is>
          <t>Virement</t>
        </is>
      </c>
      <c r="C254" s="42" t="inlineStr">
        <is>
          <t>Joint</t>
        </is>
      </c>
      <c r="D254" s="42" t="inlineStr">
        <is>
          <t>Provision</t>
        </is>
      </c>
      <c r="E254" s="42" t="n"/>
      <c r="F254" s="42" t="n"/>
      <c r="G254" s="42" t="n">
        <v>120</v>
      </c>
      <c r="H254" s="44" t="n"/>
    </row>
    <row r="255" ht="15.75" customHeight="1">
      <c r="A255" s="43" t="n">
        <v>45934</v>
      </c>
      <c r="B255" s="42" t="inlineStr">
        <is>
          <t>Virement</t>
        </is>
      </c>
      <c r="C255" s="42" t="inlineStr">
        <is>
          <t>Joint</t>
        </is>
      </c>
      <c r="D255" s="42" t="inlineStr">
        <is>
          <t>Loyer</t>
        </is>
      </c>
      <c r="E255" s="42" t="n"/>
      <c r="F255" s="42" t="n"/>
      <c r="G255" s="42" t="n">
        <v>1050</v>
      </c>
      <c r="H255" s="44" t="n"/>
    </row>
    <row r="256" ht="15.75" customHeight="1">
      <c r="A256" s="43" t="n">
        <v>45934</v>
      </c>
      <c r="B256" s="42" t="inlineStr">
        <is>
          <t>Virement</t>
        </is>
      </c>
      <c r="C256" s="42" t="inlineStr">
        <is>
          <t>Joint</t>
        </is>
      </c>
      <c r="D256" s="42" t="inlineStr">
        <is>
          <t>Provision</t>
        </is>
      </c>
      <c r="E256" s="42" t="n"/>
      <c r="F256" s="42" t="n"/>
      <c r="G256" s="42" t="n">
        <v>120</v>
      </c>
      <c r="H256" s="44" t="n"/>
    </row>
    <row r="257" ht="15.75" customHeight="1">
      <c r="A257" s="43" t="n">
        <v>45934</v>
      </c>
      <c r="B257" s="42" t="inlineStr">
        <is>
          <t>Virement</t>
        </is>
      </c>
      <c r="C257" s="42" t="inlineStr">
        <is>
          <t>Joint</t>
        </is>
      </c>
      <c r="D257" s="42" t="inlineStr">
        <is>
          <t>Loyer</t>
        </is>
      </c>
      <c r="E257" s="42" t="n"/>
      <c r="F257" s="42" t="n"/>
      <c r="G257" s="42" t="n">
        <v>1050</v>
      </c>
      <c r="H257" s="44" t="n"/>
    </row>
    <row r="258" ht="15.75" customHeight="1">
      <c r="A258" s="43" t="n">
        <v>45934</v>
      </c>
      <c r="B258" s="42" t="inlineStr">
        <is>
          <t>Virement</t>
        </is>
      </c>
      <c r="C258" s="42" t="inlineStr">
        <is>
          <t>Joint</t>
        </is>
      </c>
      <c r="D258" s="42" t="inlineStr">
        <is>
          <t>Provision</t>
        </is>
      </c>
      <c r="E258" s="42" t="n"/>
      <c r="F258" s="42" t="n"/>
      <c r="G258" s="42" t="n">
        <v>120</v>
      </c>
      <c r="H258" s="44" t="n"/>
    </row>
    <row r="259" ht="15.75" customHeight="1">
      <c r="A259" s="43" t="n">
        <v>45934</v>
      </c>
      <c r="B259" s="42" t="inlineStr">
        <is>
          <t>Virement</t>
        </is>
      </c>
      <c r="C259" s="42" t="inlineStr">
        <is>
          <t>Joint</t>
        </is>
      </c>
      <c r="D259" s="42" t="inlineStr">
        <is>
          <t>Loyer</t>
        </is>
      </c>
      <c r="E259" s="42" t="n"/>
      <c r="F259" s="42" t="n"/>
      <c r="G259" s="42" t="n">
        <v>1050</v>
      </c>
      <c r="H259" s="44" t="n"/>
    </row>
    <row r="260" ht="15.75" customHeight="1">
      <c r="A260" s="43" t="n">
        <v>45934</v>
      </c>
      <c r="B260" s="42" t="inlineStr">
        <is>
          <t>Virement</t>
        </is>
      </c>
      <c r="C260" s="42" t="inlineStr">
        <is>
          <t>Joint</t>
        </is>
      </c>
      <c r="D260" s="42" t="inlineStr">
        <is>
          <t>Provision</t>
        </is>
      </c>
      <c r="E260" s="42" t="n"/>
      <c r="F260" s="42" t="n"/>
      <c r="G260" s="42" t="n">
        <v>120</v>
      </c>
      <c r="H260" s="44" t="n"/>
    </row>
    <row r="261" ht="15.75" customHeight="1">
      <c r="A261" s="43" t="n">
        <v>45934</v>
      </c>
      <c r="B261" s="42" t="inlineStr">
        <is>
          <t>Virement</t>
        </is>
      </c>
      <c r="C261" s="42" t="inlineStr">
        <is>
          <t>Joint</t>
        </is>
      </c>
      <c r="D261" s="42" t="inlineStr">
        <is>
          <t>Loyer</t>
        </is>
      </c>
      <c r="E261" s="42" t="n"/>
      <c r="F261" s="42" t="n"/>
      <c r="G261" s="42" t="n">
        <v>1050</v>
      </c>
      <c r="H261" s="44" t="n"/>
    </row>
    <row r="262" ht="15.75" customHeight="1">
      <c r="A262" s="43" t="n">
        <v>45934</v>
      </c>
      <c r="B262" s="42" t="inlineStr">
        <is>
          <t>Virement</t>
        </is>
      </c>
      <c r="C262" s="42" t="inlineStr">
        <is>
          <t>Joint</t>
        </is>
      </c>
      <c r="D262" s="42" t="inlineStr">
        <is>
          <t>Provision</t>
        </is>
      </c>
      <c r="E262" s="42" t="n"/>
      <c r="F262" s="42" t="n"/>
      <c r="G262" s="42" t="n">
        <v>120</v>
      </c>
      <c r="H262" s="44" t="n"/>
    </row>
    <row r="263" ht="15.75" customHeight="1">
      <c r="A263" s="43" t="n">
        <v>45934</v>
      </c>
      <c r="B263" s="42" t="inlineStr">
        <is>
          <t>Virement</t>
        </is>
      </c>
      <c r="C263" s="42" t="inlineStr">
        <is>
          <t>Joint</t>
        </is>
      </c>
      <c r="D263" s="42" t="inlineStr">
        <is>
          <t>Loyer</t>
        </is>
      </c>
      <c r="E263" s="42" t="n"/>
      <c r="F263" s="42" t="n"/>
      <c r="G263" s="42" t="n">
        <v>1050</v>
      </c>
      <c r="H263" s="44" t="n"/>
    </row>
    <row r="264" ht="15.75" customHeight="1">
      <c r="A264" s="43" t="n">
        <v>45934</v>
      </c>
      <c r="B264" s="42" t="inlineStr">
        <is>
          <t>Virement</t>
        </is>
      </c>
      <c r="C264" s="42" t="inlineStr">
        <is>
          <t>Joint</t>
        </is>
      </c>
      <c r="D264" s="42" t="inlineStr">
        <is>
          <t>Provision</t>
        </is>
      </c>
      <c r="E264" s="42" t="n"/>
      <c r="F264" s="42" t="n"/>
      <c r="G264" s="42" t="n">
        <v>120</v>
      </c>
      <c r="H264" s="44" t="n"/>
    </row>
    <row r="265" ht="15.75" customHeight="1">
      <c r="A265" s="43" t="n">
        <v>45934</v>
      </c>
      <c r="B265" s="42" t="inlineStr">
        <is>
          <t>Virement</t>
        </is>
      </c>
      <c r="C265" s="42" t="inlineStr">
        <is>
          <t>Joint</t>
        </is>
      </c>
      <c r="D265" s="42" t="inlineStr">
        <is>
          <t>Loyer</t>
        </is>
      </c>
      <c r="E265" s="42" t="n"/>
      <c r="F265" s="42" t="n"/>
      <c r="G265" s="42" t="n">
        <v>1050</v>
      </c>
      <c r="H265" s="44" t="n"/>
    </row>
    <row r="266" ht="15.75" customHeight="1">
      <c r="A266" s="43" t="n">
        <v>45934</v>
      </c>
      <c r="B266" s="42" t="inlineStr">
        <is>
          <t>Virement</t>
        </is>
      </c>
      <c r="C266" s="42" t="inlineStr">
        <is>
          <t>Joint</t>
        </is>
      </c>
      <c r="D266" s="42" t="inlineStr">
        <is>
          <t>Provision</t>
        </is>
      </c>
      <c r="E266" s="42" t="n"/>
      <c r="F266" s="42" t="n"/>
      <c r="G266" s="42" t="n">
        <v>120</v>
      </c>
      <c r="H266" s="44" t="n"/>
    </row>
    <row r="267" ht="15.75" customHeight="1">
      <c r="A267" s="43" t="n">
        <v>45934</v>
      </c>
      <c r="B267" s="42" t="inlineStr">
        <is>
          <t>Virement</t>
        </is>
      </c>
      <c r="C267" s="42" t="inlineStr">
        <is>
          <t>Joint</t>
        </is>
      </c>
      <c r="D267" s="42" t="inlineStr">
        <is>
          <t>Loyer</t>
        </is>
      </c>
      <c r="E267" s="42" t="n"/>
      <c r="F267" s="42" t="n"/>
      <c r="G267" s="42" t="n">
        <v>1050</v>
      </c>
      <c r="H267" s="44" t="n"/>
    </row>
    <row r="268" ht="15.75" customHeight="1">
      <c r="A268" s="43" t="n">
        <v>45934</v>
      </c>
      <c r="B268" s="42" t="inlineStr">
        <is>
          <t>Virement</t>
        </is>
      </c>
      <c r="C268" s="42" t="inlineStr">
        <is>
          <t>Joint</t>
        </is>
      </c>
      <c r="D268" s="42" t="inlineStr">
        <is>
          <t>Provision</t>
        </is>
      </c>
      <c r="E268" s="42" t="n"/>
      <c r="F268" s="42" t="n"/>
      <c r="G268" s="42" t="n">
        <v>120</v>
      </c>
      <c r="H268" s="44" t="n"/>
    </row>
    <row r="269" ht="15.75" customHeight="1">
      <c r="A269" s="43" t="n">
        <v>45934</v>
      </c>
      <c r="B269" s="42" t="inlineStr">
        <is>
          <t>Virement</t>
        </is>
      </c>
      <c r="C269" s="42" t="inlineStr">
        <is>
          <t>Joint</t>
        </is>
      </c>
      <c r="D269" s="42" t="inlineStr">
        <is>
          <t>Loyer</t>
        </is>
      </c>
      <c r="E269" s="42" t="n"/>
      <c r="F269" s="42" t="n"/>
      <c r="G269" s="42" t="n">
        <v>1050</v>
      </c>
      <c r="H269" s="44" t="n"/>
    </row>
    <row r="270" ht="15.75" customHeight="1">
      <c r="A270" s="43" t="n">
        <v>45934</v>
      </c>
      <c r="B270" s="42" t="inlineStr">
        <is>
          <t>Virement</t>
        </is>
      </c>
      <c r="C270" s="42" t="inlineStr">
        <is>
          <t>Joint</t>
        </is>
      </c>
      <c r="D270" s="42" t="inlineStr">
        <is>
          <t>Provision</t>
        </is>
      </c>
      <c r="E270" s="42" t="n"/>
      <c r="F270" s="42" t="n"/>
      <c r="G270" s="42" t="n">
        <v>120</v>
      </c>
      <c r="H270" s="44" t="n"/>
    </row>
    <row r="271" ht="15.75" customHeight="1">
      <c r="A271" s="43" t="n">
        <v>45934</v>
      </c>
      <c r="B271" s="42" t="inlineStr">
        <is>
          <t>Virement</t>
        </is>
      </c>
      <c r="C271" s="42" t="inlineStr">
        <is>
          <t>Joint</t>
        </is>
      </c>
      <c r="D271" s="42" t="inlineStr">
        <is>
          <t>Loyer</t>
        </is>
      </c>
      <c r="E271" s="42" t="n"/>
      <c r="F271" s="42" t="n"/>
      <c r="G271" s="42" t="n">
        <v>1050</v>
      </c>
      <c r="H271" s="44" t="n"/>
    </row>
    <row r="272" ht="15.75" customHeight="1">
      <c r="A272" s="43" t="n">
        <v>45934</v>
      </c>
      <c r="B272" s="42" t="inlineStr">
        <is>
          <t>Virement</t>
        </is>
      </c>
      <c r="C272" s="42" t="inlineStr">
        <is>
          <t>Joint</t>
        </is>
      </c>
      <c r="D272" s="42" t="inlineStr">
        <is>
          <t>Provision</t>
        </is>
      </c>
      <c r="E272" s="42" t="n"/>
      <c r="F272" s="42" t="n"/>
      <c r="G272" s="42" t="n">
        <v>120</v>
      </c>
      <c r="H272" s="44" t="n"/>
    </row>
    <row r="273" ht="15.75" customHeight="1">
      <c r="A273" s="43" t="n">
        <v>45934</v>
      </c>
      <c r="B273" s="42" t="inlineStr">
        <is>
          <t>Virement</t>
        </is>
      </c>
      <c r="C273" s="42" t="inlineStr">
        <is>
          <t>Joint</t>
        </is>
      </c>
      <c r="D273" s="42" t="inlineStr">
        <is>
          <t>Loyer</t>
        </is>
      </c>
      <c r="E273" s="42" t="n"/>
      <c r="F273" s="42" t="n"/>
      <c r="G273" s="42" t="n">
        <v>1050</v>
      </c>
      <c r="H273" s="44" t="n"/>
    </row>
    <row r="274" ht="15.75" customHeight="1">
      <c r="A274" s="43" t="n">
        <v>45934</v>
      </c>
      <c r="B274" s="42" t="inlineStr">
        <is>
          <t>Virement</t>
        </is>
      </c>
      <c r="C274" s="42" t="inlineStr">
        <is>
          <t>Joint</t>
        </is>
      </c>
      <c r="D274" s="42" t="inlineStr">
        <is>
          <t>Provision</t>
        </is>
      </c>
      <c r="E274" s="42" t="n"/>
      <c r="F274" s="42" t="n"/>
      <c r="G274" s="42" t="n">
        <v>120</v>
      </c>
      <c r="H274" s="44" t="n"/>
    </row>
    <row r="275" ht="15.75" customHeight="1">
      <c r="A275" s="43" t="n">
        <v>45934</v>
      </c>
      <c r="B275" s="42" t="inlineStr">
        <is>
          <t>Virement</t>
        </is>
      </c>
      <c r="C275" s="42" t="inlineStr">
        <is>
          <t>Joint</t>
        </is>
      </c>
      <c r="D275" s="42" t="inlineStr">
        <is>
          <t>Loyer</t>
        </is>
      </c>
      <c r="E275" s="42" t="n"/>
      <c r="F275" s="42" t="n"/>
      <c r="G275" s="42" t="n">
        <v>1050</v>
      </c>
      <c r="H275" s="44" t="n"/>
    </row>
    <row r="276" ht="15.75" customHeight="1">
      <c r="A276" s="43" t="n">
        <v>45934</v>
      </c>
      <c r="B276" s="42" t="inlineStr">
        <is>
          <t>Virement</t>
        </is>
      </c>
      <c r="C276" s="42" t="inlineStr">
        <is>
          <t>Joint</t>
        </is>
      </c>
      <c r="D276" s="42" t="inlineStr">
        <is>
          <t>Provision</t>
        </is>
      </c>
      <c r="E276" s="42" t="n"/>
      <c r="F276" s="42" t="n"/>
      <c r="G276" s="42" t="n">
        <v>120</v>
      </c>
      <c r="H276" s="44" t="n"/>
    </row>
    <row r="277" ht="15.75" customHeight="1">
      <c r="A277" s="43" t="n">
        <v>45934</v>
      </c>
      <c r="B277" s="42" t="inlineStr">
        <is>
          <t>Virement</t>
        </is>
      </c>
      <c r="C277" s="42" t="inlineStr">
        <is>
          <t>Joint</t>
        </is>
      </c>
      <c r="D277" s="42" t="inlineStr">
        <is>
          <t>Loyer</t>
        </is>
      </c>
      <c r="E277" s="42" t="n"/>
      <c r="F277" s="42" t="n"/>
      <c r="G277" s="42" t="n">
        <v>1050</v>
      </c>
      <c r="H277" s="44" t="n"/>
    </row>
    <row r="278" ht="15.75" customHeight="1">
      <c r="A278" s="43" t="n">
        <v>45967</v>
      </c>
      <c r="B278" s="43" t="inlineStr">
        <is>
          <t>Prélèvement</t>
        </is>
      </c>
      <c r="C278" s="42" t="inlineStr">
        <is>
          <t>Joint</t>
        </is>
      </c>
      <c r="D278" s="42" t="inlineStr">
        <is>
          <t>Charges</t>
        </is>
      </c>
      <c r="E278" s="42" t="n"/>
      <c r="F278" s="42" t="n">
        <v>466.57</v>
      </c>
      <c r="G278" s="42" t="n"/>
      <c r="H278" s="44" t="n"/>
    </row>
    <row r="279" ht="15.75" customHeight="1">
      <c r="A279" s="43" t="n">
        <v>45967</v>
      </c>
      <c r="B279" s="43" t="inlineStr">
        <is>
          <t>Prélèvement</t>
        </is>
      </c>
      <c r="C279" s="42" t="inlineStr">
        <is>
          <t>Joint</t>
        </is>
      </c>
      <c r="D279" s="42" t="inlineStr">
        <is>
          <t>Charges</t>
        </is>
      </c>
      <c r="E279" s="42" t="n"/>
      <c r="F279" s="42" t="n">
        <v>466.57</v>
      </c>
      <c r="G279" s="42" t="n"/>
      <c r="H279" s="44" t="n"/>
    </row>
    <row r="280" ht="15.75" customHeight="1">
      <c r="A280" s="43" t="n">
        <v>45967</v>
      </c>
      <c r="B280" s="43" t="inlineStr">
        <is>
          <t>Prélèvement</t>
        </is>
      </c>
      <c r="C280" s="42" t="inlineStr">
        <is>
          <t>Joint</t>
        </is>
      </c>
      <c r="D280" s="42" t="inlineStr">
        <is>
          <t>Charges</t>
        </is>
      </c>
      <c r="E280" s="42" t="n"/>
      <c r="F280" s="42" t="n">
        <v>466.57</v>
      </c>
      <c r="G280" s="42" t="n"/>
      <c r="H280" s="44" t="n"/>
    </row>
    <row r="281" ht="15.75" customHeight="1">
      <c r="A281" s="43" t="n">
        <v>45967</v>
      </c>
      <c r="B281" s="43" t="inlineStr">
        <is>
          <t>Prélèvement</t>
        </is>
      </c>
      <c r="C281" s="42" t="inlineStr">
        <is>
          <t>Joint</t>
        </is>
      </c>
      <c r="D281" s="42" t="inlineStr">
        <is>
          <t>Charges</t>
        </is>
      </c>
      <c r="E281" s="42" t="n"/>
      <c r="F281" s="42" t="n">
        <v>466.57</v>
      </c>
      <c r="G281" s="42" t="n"/>
      <c r="H281" s="44" t="n"/>
    </row>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Q258"/>
  <sheetViews>
    <sheetView workbookViewId="0">
      <pane ySplit="2" topLeftCell="A26" activePane="bottomLeft" state="frozen"/>
      <selection pane="bottomLeft" activeCell="B48" sqref="B48"/>
    </sheetView>
  </sheetViews>
  <sheetFormatPr baseColWidth="8" defaultColWidth="12.5703125" defaultRowHeight="15" customHeight="1"/>
  <cols>
    <col width="20.7109375" bestFit="1" customWidth="1" min="1" max="1"/>
    <col width="10.28515625" customWidth="1" min="2" max="2"/>
    <col width="10.140625" customWidth="1" min="3" max="3"/>
    <col width="10.7109375" customWidth="1" min="4" max="4"/>
    <col width="13" customWidth="1" min="5" max="5"/>
    <col width="7.5703125" customWidth="1" min="6" max="6"/>
    <col width="16.7109375" customWidth="1" min="7" max="7"/>
    <col width="10.140625" customWidth="1" min="8" max="9"/>
    <col width="12.42578125" customWidth="1" min="10" max="11"/>
    <col width="11.7109375" customWidth="1" min="12" max="12"/>
    <col width="15.140625" customWidth="1" min="13" max="13"/>
    <col width="8.28515625" customWidth="1" min="14" max="14"/>
    <col width="10.85546875" customWidth="1" min="15" max="15"/>
    <col width="43.5703125" customWidth="1" min="16" max="16"/>
    <col width="8.5703125" customWidth="1" min="17" max="27"/>
  </cols>
  <sheetData>
    <row r="1">
      <c r="A1" s="1" t="inlineStr">
        <is>
          <t>BNP client 4037025891</t>
        </is>
      </c>
      <c r="D1" s="1" t="inlineStr">
        <is>
          <t xml:space="preserve">Assurance Pret A 081435  </t>
        </is>
      </c>
      <c r="F1" s="1" t="inlineStr">
        <is>
          <t>Assurance Pret X 023268</t>
        </is>
      </c>
    </row>
    <row r="2" ht="66.75" customHeight="1">
      <c r="A2" s="8" t="inlineStr">
        <is>
          <t>Date (Valeur)</t>
        </is>
      </c>
      <c r="B2" s="8" t="inlineStr">
        <is>
          <t>Débit bancaire total</t>
        </is>
      </c>
      <c r="C2" s="8" t="inlineStr">
        <is>
          <t>Part remboursement capital</t>
        </is>
      </c>
      <c r="D2" s="8" t="inlineStr">
        <is>
          <t>Capital mise a disposition (montant)</t>
        </is>
      </c>
      <c r="E2" s="8" t="inlineStr">
        <is>
          <t>Capital mise a disposition (date)</t>
        </is>
      </c>
      <c r="F2" s="8" t="inlineStr">
        <is>
          <t>Prorata</t>
        </is>
      </c>
      <c r="G2" s="9" t="inlineStr">
        <is>
          <t>Capital (débloqué) restant du</t>
        </is>
      </c>
      <c r="H2" s="9" t="inlineStr">
        <is>
          <t>Capital (total) restant du</t>
        </is>
      </c>
      <c r="I2" s="8" t="inlineStr">
        <is>
          <t>Capital débloqué cumulatif (%)</t>
        </is>
      </c>
      <c r="J2" s="8" t="inlineStr">
        <is>
          <t>Intêrets calculés (Déductible)</t>
        </is>
      </c>
      <c r="K2" s="8" t="inlineStr">
        <is>
          <t>Assurance Pret BNP (Déductible)</t>
        </is>
      </c>
      <c r="L2" s="8" t="inlineStr">
        <is>
          <t>Assurance Pret (Déductible)</t>
        </is>
      </c>
      <c r="M2" s="8" t="inlineStr">
        <is>
          <t>Remboursement capital reportés</t>
        </is>
      </c>
      <c r="N2" s="8" t="inlineStr">
        <is>
          <t>Intêrets reportés</t>
        </is>
      </c>
      <c r="O2" s="8" t="inlineStr">
        <is>
          <t>Déductible charges</t>
        </is>
      </c>
      <c r="P2" s="8" t="inlineStr">
        <is>
          <t>Commentaire</t>
        </is>
      </c>
    </row>
    <row r="3">
      <c r="A3" s="10" t="n">
        <v>44326</v>
      </c>
      <c r="B3" s="11" t="n">
        <v>1000</v>
      </c>
      <c r="C3" s="11" t="n"/>
      <c r="D3" s="11" t="n"/>
      <c r="E3" s="11" t="n"/>
      <c r="F3" s="11" t="n"/>
      <c r="G3" s="11" t="n">
        <v>0</v>
      </c>
      <c r="H3" s="12" t="n"/>
      <c r="I3" s="12" t="n"/>
      <c r="J3" s="12" t="n"/>
      <c r="K3" s="11" t="n"/>
      <c r="L3" s="11" t="n"/>
      <c r="M3" s="11" t="n"/>
      <c r="N3" s="11" t="n"/>
      <c r="O3" s="11">
        <f>B3</f>
        <v/>
      </c>
      <c r="P3" s="1" t="inlineStr">
        <is>
          <t>commission d'ouverture</t>
        </is>
      </c>
      <c r="Q3" s="1" t="inlineStr">
        <is>
          <t>Contrats/Cr_dit Immobilier_20210420.pdf</t>
        </is>
      </c>
    </row>
    <row r="4">
      <c r="A4" s="10" t="n">
        <v>44343</v>
      </c>
      <c r="B4" s="11" t="n">
        <v>3840.13</v>
      </c>
      <c r="C4" s="11" t="n"/>
      <c r="D4" s="11" t="n"/>
      <c r="E4" s="11" t="n"/>
      <c r="F4" s="11" t="n"/>
      <c r="G4" s="11" t="n"/>
      <c r="H4" s="11" t="n"/>
      <c r="I4" s="11" t="n"/>
      <c r="J4" s="11" t="n"/>
      <c r="K4" s="11" t="n"/>
      <c r="L4" s="11" t="n"/>
      <c r="M4" s="11" t="n"/>
      <c r="N4" s="11" t="n"/>
      <c r="O4" s="11">
        <f>B4</f>
        <v/>
      </c>
      <c r="P4" s="1" t="inlineStr">
        <is>
          <t>Frais de notaire: virement 4142 &amp; remboursement 301.87</t>
        </is>
      </c>
      <c r="Q4" s="1" t="inlineStr">
        <is>
          <t>Justificatifs/2021/notaire.pdf</t>
        </is>
      </c>
    </row>
    <row r="5">
      <c r="A5" s="10" t="n">
        <v>44344</v>
      </c>
      <c r="B5" s="11" t="n">
        <v>2294.8</v>
      </c>
      <c r="C5" s="11" t="n"/>
      <c r="D5" s="11" t="n"/>
      <c r="E5" s="11" t="n"/>
      <c r="F5" s="11" t="n"/>
      <c r="G5" s="11" t="n"/>
      <c r="H5" s="11" t="n"/>
      <c r="I5" s="11" t="n"/>
      <c r="J5" s="11" t="n"/>
      <c r="K5" s="11" t="n"/>
      <c r="L5" s="11" t="n"/>
      <c r="M5" s="11" t="n"/>
      <c r="N5" s="11" t="n"/>
      <c r="O5" s="11">
        <f>B5</f>
        <v/>
      </c>
      <c r="P5" s="1" t="inlineStr">
        <is>
          <t>Participation financiere crédit logement</t>
        </is>
      </c>
      <c r="Q5" s="1" t="inlineStr">
        <is>
          <t>Contrats/Cr_dit Immobilier_20210506.pdf</t>
        </is>
      </c>
    </row>
    <row r="6">
      <c r="A6" s="10" t="n">
        <v>44357</v>
      </c>
      <c r="B6" s="11" t="n">
        <v>347.65</v>
      </c>
      <c r="C6" s="11">
        <f>ROUND(1056.64*I6, 2)</f>
        <v/>
      </c>
      <c r="D6" s="11" t="n">
        <v>69600</v>
      </c>
      <c r="E6" s="10" t="n">
        <v>44344</v>
      </c>
      <c r="F6" s="13">
        <f>(A6-E6-1)/(A6-A3-1)</f>
        <v/>
      </c>
      <c r="G6" s="11">
        <f>G5-M6+D6</f>
        <v/>
      </c>
      <c r="H6" s="11">
        <f>SUM(D:D)-M6</f>
        <v/>
      </c>
      <c r="I6" s="12" t="n">
        <v>0.3</v>
      </c>
      <c r="J6" s="11">
        <f>ROUND((G5)*0.009/12 +D6* F6*0.009/12, 2)</f>
        <v/>
      </c>
      <c r="K6" s="11">
        <f>B6-C6</f>
        <v/>
      </c>
      <c r="L6" s="11" t="n"/>
      <c r="M6" s="11">
        <f>C6-J6</f>
        <v/>
      </c>
      <c r="N6" s="11" t="n"/>
      <c r="O6" s="11">
        <f>J6+K6+L6</f>
        <v/>
      </c>
      <c r="P6" s="1" t="inlineStr">
        <is>
          <t>Premiere échéance; fonds débloqués le 28/05, voir mail</t>
        </is>
      </c>
      <c r="Q6" s="1" t="inlineStr">
        <is>
          <t>*</t>
        </is>
      </c>
    </row>
    <row r="7">
      <c r="A7" s="10" t="n">
        <v>44387</v>
      </c>
      <c r="B7" s="11" t="n">
        <v>344.05</v>
      </c>
      <c r="C7" s="11">
        <f>ROUND(1056.64*I7, 2)</f>
        <v/>
      </c>
      <c r="D7" s="11" t="n"/>
      <c r="E7" s="10" t="n"/>
      <c r="F7" s="11" t="n"/>
      <c r="G7" s="11">
        <f>G6-M7+D7</f>
        <v/>
      </c>
      <c r="H7" s="11">
        <f>H6-M7</f>
        <v/>
      </c>
      <c r="I7" s="12" t="n">
        <v>0.3</v>
      </c>
      <c r="J7" s="11">
        <f>ROUND((G6)*0.009/12 +D7* F7*0.009/12, 2)</f>
        <v/>
      </c>
      <c r="K7" s="11">
        <f>B7-C7</f>
        <v/>
      </c>
      <c r="L7" s="11" t="n"/>
      <c r="M7" s="11">
        <f>C7-J7</f>
        <v/>
      </c>
      <c r="N7" s="11" t="n"/>
      <c r="O7" s="11">
        <f>J7+K7+L7</f>
        <v/>
      </c>
      <c r="Q7" s="1" t="inlineStr">
        <is>
          <t>*</t>
        </is>
      </c>
    </row>
    <row r="8">
      <c r="A8" s="10" t="n">
        <v>44418</v>
      </c>
      <c r="B8" s="11" t="n">
        <v>344.05</v>
      </c>
      <c r="C8" s="11">
        <f>ROUND(1056.64*I8, 2)</f>
        <v/>
      </c>
      <c r="D8" s="11" t="n"/>
      <c r="E8" s="11" t="n"/>
      <c r="F8" s="11" t="n"/>
      <c r="G8" s="11">
        <f>G7-M8+D8</f>
        <v/>
      </c>
      <c r="H8" s="11">
        <f>H7-M8</f>
        <v/>
      </c>
      <c r="I8" s="12" t="n">
        <v>0.3</v>
      </c>
      <c r="J8" s="11">
        <f>ROUND((G7)*0.009/12 +D8* F8*0.009/12, 2)</f>
        <v/>
      </c>
      <c r="K8" s="11">
        <f>B8-C8</f>
        <v/>
      </c>
      <c r="L8" s="11" t="n"/>
      <c r="M8" s="11">
        <f>C8-J8</f>
        <v/>
      </c>
      <c r="N8" s="11" t="n"/>
      <c r="O8" s="11">
        <f>J8+K8+L8</f>
        <v/>
      </c>
    </row>
    <row r="9">
      <c r="A9" s="10" t="n">
        <v>44449</v>
      </c>
      <c r="B9" s="11" t="n">
        <v>344.05</v>
      </c>
      <c r="C9" s="11">
        <f>ROUND(1056.64*I9, 2)</f>
        <v/>
      </c>
      <c r="D9" s="11" t="n"/>
      <c r="E9" s="11" t="n"/>
      <c r="F9" s="11" t="n"/>
      <c r="G9" s="11">
        <f>G8-M9+D9</f>
        <v/>
      </c>
      <c r="H9" s="11">
        <f>H8-M9</f>
        <v/>
      </c>
      <c r="I9" s="12" t="n">
        <v>0.3</v>
      </c>
      <c r="J9" s="11">
        <f>ROUND((G8)*0.009/12 +D9* F9*0.009/12, 2)</f>
        <v/>
      </c>
      <c r="K9" s="11">
        <f>B9-C9</f>
        <v/>
      </c>
      <c r="L9" s="11" t="n"/>
      <c r="M9" s="11">
        <f>C9-J9</f>
        <v/>
      </c>
      <c r="N9" s="11" t="n"/>
      <c r="O9" s="11">
        <f>J9+K9+L9</f>
        <v/>
      </c>
    </row>
    <row r="10">
      <c r="A10" s="10" t="n">
        <v>44479</v>
      </c>
      <c r="B10" s="11" t="n">
        <v>396.88</v>
      </c>
      <c r="C10" s="11">
        <f>ROUND(1056.64*I10, 2)</f>
        <v/>
      </c>
      <c r="D10" s="11" t="n">
        <v>11600</v>
      </c>
      <c r="E10" s="10" t="n">
        <v>44458</v>
      </c>
      <c r="F10" s="13">
        <f>(A10-E10-1)/(A10-A9-1)</f>
        <v/>
      </c>
      <c r="G10" s="11">
        <f>G9-M10+D10</f>
        <v/>
      </c>
      <c r="H10" s="11">
        <f>H9-M10</f>
        <v/>
      </c>
      <c r="I10" s="12" t="n">
        <v>0.35</v>
      </c>
      <c r="J10" s="11">
        <f>ROUND((G9)*0.009/12 +D10* F10*0.009/12, 2)</f>
        <v/>
      </c>
      <c r="K10" s="11">
        <f>B10-C10</f>
        <v/>
      </c>
      <c r="L10" s="11" t="n"/>
      <c r="M10" s="11">
        <f>C10-J10</f>
        <v/>
      </c>
      <c r="N10" s="11" t="n"/>
      <c r="O10" s="11">
        <f>J10+K10+L10</f>
        <v/>
      </c>
      <c r="P10" s="1" t="inlineStr">
        <is>
          <t>Date limite 20/09/2021</t>
        </is>
      </c>
    </row>
    <row r="11">
      <c r="A11" s="10" t="n">
        <v>44510</v>
      </c>
      <c r="B11" s="11" t="n">
        <v>396.88</v>
      </c>
      <c r="C11" s="11">
        <f>ROUND(1056.64*I11, 2)</f>
        <v/>
      </c>
      <c r="D11" s="11" t="n"/>
      <c r="E11" s="11" t="n"/>
      <c r="F11" s="11" t="n"/>
      <c r="G11" s="11">
        <f>G10-M11+D11</f>
        <v/>
      </c>
      <c r="H11" s="11">
        <f>H10-M11</f>
        <v/>
      </c>
      <c r="I11" s="12" t="n">
        <v>0.35</v>
      </c>
      <c r="J11" s="11">
        <f>ROUND((G10)*0.009/12 +D11* F11*0.009/12, 2)</f>
        <v/>
      </c>
      <c r="K11" s="11">
        <f>B11-C11</f>
        <v/>
      </c>
      <c r="L11" s="11" t="n"/>
      <c r="M11" s="11">
        <f>C11-J11</f>
        <v/>
      </c>
      <c r="N11" s="11" t="n"/>
      <c r="O11" s="11">
        <f>J11+K11+L11</f>
        <v/>
      </c>
    </row>
    <row r="12">
      <c r="A12" s="10" t="n">
        <v>44540</v>
      </c>
      <c r="B12" s="11" t="n">
        <v>555.38</v>
      </c>
      <c r="C12" s="11">
        <f>ROUND(1056.64*I12, 2)</f>
        <v/>
      </c>
      <c r="D12" s="11" t="n">
        <v>34800</v>
      </c>
      <c r="E12" s="10" t="n">
        <v>44535</v>
      </c>
      <c r="F12" s="13">
        <f>(A12-E12-1)/(A12-A11-1)</f>
        <v/>
      </c>
      <c r="G12" s="11">
        <f>G11-M12+D12</f>
        <v/>
      </c>
      <c r="H12" s="11">
        <f>H11-M12</f>
        <v/>
      </c>
      <c r="I12" s="12" t="n">
        <v>0.5</v>
      </c>
      <c r="J12" s="11">
        <f>ROUND((G11)*0.009/12 +D12* F12*0.009/12, 2)</f>
        <v/>
      </c>
      <c r="K12" s="11">
        <f>B12-C12</f>
        <v/>
      </c>
      <c r="L12" s="11" t="n"/>
      <c r="M12" s="11">
        <f>C12-J12</f>
        <v/>
      </c>
      <c r="N12" s="11" t="n"/>
      <c r="O12" s="11">
        <f>J12+K12+L12</f>
        <v/>
      </c>
      <c r="P12" s="1" t="inlineStr">
        <is>
          <t>Confirmation atland 08/12/2021</t>
        </is>
      </c>
    </row>
    <row r="13">
      <c r="A13" s="14" t="n">
        <v>44571</v>
      </c>
      <c r="B13" s="15" t="n">
        <v>555.38</v>
      </c>
      <c r="C13" s="15">
        <f>ROUND(1056.64*I13, 2)</f>
        <v/>
      </c>
      <c r="D13" s="15" t="n"/>
      <c r="E13" s="15" t="n"/>
      <c r="F13" s="15" t="n"/>
      <c r="G13" s="15">
        <f>G12-M13+D13</f>
        <v/>
      </c>
      <c r="H13" s="15">
        <f>H12-M13</f>
        <v/>
      </c>
      <c r="I13" s="16" t="n">
        <v>0.5</v>
      </c>
      <c r="J13" s="15">
        <f>ROUND((G12)*0.009/12 +D13* F13*0.009/12, 2)</f>
        <v/>
      </c>
      <c r="K13" s="15">
        <f>B13-C13</f>
        <v/>
      </c>
      <c r="L13" s="15" t="n"/>
      <c r="M13" s="15">
        <f>C13-J13</f>
        <v/>
      </c>
      <c r="N13" s="15" t="n"/>
      <c r="O13" s="15">
        <f>J13+K13+L13</f>
        <v/>
      </c>
    </row>
    <row r="14">
      <c r="A14" s="14" t="n">
        <v>44602</v>
      </c>
      <c r="B14" s="15" t="n">
        <v>555.38</v>
      </c>
      <c r="C14" s="15">
        <f>ROUND(1056.64*I14, 2)</f>
        <v/>
      </c>
      <c r="D14" s="15" t="n"/>
      <c r="E14" s="15" t="n"/>
      <c r="F14" s="15" t="n"/>
      <c r="G14" s="15">
        <f>G13-M14+D14</f>
        <v/>
      </c>
      <c r="H14" s="15">
        <f>H13-M14</f>
        <v/>
      </c>
      <c r="I14" s="16" t="n">
        <v>0.5</v>
      </c>
      <c r="J14" s="15">
        <f>ROUND((G13)*0.009/12 +D14* F14*0.009/12, 2)</f>
        <v/>
      </c>
      <c r="K14" s="15">
        <f>B14-C14</f>
        <v/>
      </c>
      <c r="L14" s="15" t="n"/>
      <c r="M14" s="15">
        <f>C14-J14</f>
        <v/>
      </c>
      <c r="N14" s="15" t="n"/>
      <c r="O14" s="15">
        <f>J14+K14+L14</f>
        <v/>
      </c>
    </row>
    <row r="15">
      <c r="A15" s="14" t="n">
        <v>44630</v>
      </c>
      <c r="B15" s="15" t="n">
        <v>555.38</v>
      </c>
      <c r="C15" s="15">
        <f>ROUND(1056.64*I15, 2)</f>
        <v/>
      </c>
      <c r="D15" s="15" t="n"/>
      <c r="E15" s="15" t="n"/>
      <c r="F15" s="15" t="n"/>
      <c r="G15" s="15">
        <f>G14-M15+D15</f>
        <v/>
      </c>
      <c r="H15" s="15">
        <f>H14-M15</f>
        <v/>
      </c>
      <c r="I15" s="16" t="n">
        <v>0.5</v>
      </c>
      <c r="J15" s="15">
        <f>ROUND((G14)*0.009/12 +D15* F15*0.009/12, 2)</f>
        <v/>
      </c>
      <c r="K15" s="15">
        <f>B15-C15</f>
        <v/>
      </c>
      <c r="L15" s="15" t="n"/>
      <c r="M15" s="15">
        <f>C15-J15</f>
        <v/>
      </c>
      <c r="N15" s="15" t="n"/>
      <c r="O15" s="15">
        <f>J15+K15+L15</f>
        <v/>
      </c>
    </row>
    <row r="16">
      <c r="A16" s="14" t="n">
        <v>44661</v>
      </c>
      <c r="B16" s="15" t="n">
        <v>555.38</v>
      </c>
      <c r="C16" s="15">
        <f>ROUND(1056.64*I16, 2)</f>
        <v/>
      </c>
      <c r="D16" s="15" t="n"/>
      <c r="E16" s="15" t="n"/>
      <c r="F16" s="15" t="n"/>
      <c r="G16" s="15">
        <f>G15-M16+D16</f>
        <v/>
      </c>
      <c r="H16" s="15">
        <f>H15-M16</f>
        <v/>
      </c>
      <c r="I16" s="16" t="n">
        <v>0.5</v>
      </c>
      <c r="J16" s="15">
        <f>ROUND((G15)*0.009/12 +D16* F16*0.009/12, 2)</f>
        <v/>
      </c>
      <c r="K16" s="15">
        <f>B16-C16</f>
        <v/>
      </c>
      <c r="L16" s="15" t="n"/>
      <c r="M16" s="15">
        <f>C16-J16</f>
        <v/>
      </c>
      <c r="N16" s="15" t="n"/>
      <c r="O16" s="15">
        <f>J16+K16+L16</f>
        <v/>
      </c>
    </row>
    <row r="17">
      <c r="A17" s="14" t="n">
        <v>44691</v>
      </c>
      <c r="B17" s="15" t="n">
        <v>661.04</v>
      </c>
      <c r="C17" s="15">
        <f>ROUND(1056.64*I17, 2)</f>
        <v/>
      </c>
      <c r="D17" s="15" t="n">
        <v>23200</v>
      </c>
      <c r="E17" s="14" t="n">
        <v>44662</v>
      </c>
      <c r="F17" s="17">
        <f>(A17-E17-1)/(A17-A16-1)</f>
        <v/>
      </c>
      <c r="G17" s="15">
        <f>G16-M17+D17</f>
        <v/>
      </c>
      <c r="H17" s="15">
        <f>H16-M17</f>
        <v/>
      </c>
      <c r="I17" s="16" t="n">
        <v>0.6</v>
      </c>
      <c r="J17" s="15">
        <f>ROUND((G16)*0.009/12 +D17* F17*0.009/12, 2)</f>
        <v/>
      </c>
      <c r="K17" s="15">
        <f>B17-C17</f>
        <v/>
      </c>
      <c r="L17" s="15" t="n"/>
      <c r="M17" s="15">
        <f>C17-J17</f>
        <v/>
      </c>
      <c r="N17" s="15" t="n"/>
      <c r="O17" s="15">
        <f>J17+K17+L17</f>
        <v/>
      </c>
      <c r="P17" s="1" t="inlineStr">
        <is>
          <t>Confirmation atland 13/04/2022</t>
        </is>
      </c>
    </row>
    <row r="18">
      <c r="A18" s="14" t="n">
        <v>44722</v>
      </c>
      <c r="B18" s="15" t="n">
        <v>661.04</v>
      </c>
      <c r="C18" s="15">
        <f>ROUND(1056.64*I18, 2)</f>
        <v/>
      </c>
      <c r="D18" s="15" t="n"/>
      <c r="E18" s="14" t="n"/>
      <c r="F18" s="17" t="n"/>
      <c r="G18" s="15">
        <f>G17-M18+D18</f>
        <v/>
      </c>
      <c r="H18" s="15">
        <f>H17-M18</f>
        <v/>
      </c>
      <c r="I18" s="16" t="n">
        <v>0.6</v>
      </c>
      <c r="J18" s="15">
        <f>ROUND((G17)*0.009/12 +D18* F18*0.009/12, 2)</f>
        <v/>
      </c>
      <c r="K18" s="15">
        <f>B18-C18</f>
        <v/>
      </c>
      <c r="L18" s="15" t="n"/>
      <c r="M18" s="15">
        <f>C18-J18</f>
        <v/>
      </c>
      <c r="N18" s="15" t="n"/>
      <c r="O18" s="15">
        <f>J18+K18+L18</f>
        <v/>
      </c>
    </row>
    <row r="19">
      <c r="A19" s="14" t="n">
        <v>44752</v>
      </c>
      <c r="B19" s="15" t="n">
        <v>661.04</v>
      </c>
      <c r="C19" s="15">
        <f>ROUND(1056.64*I19, 2)</f>
        <v/>
      </c>
      <c r="D19" s="15" t="n"/>
      <c r="E19" s="15" t="n"/>
      <c r="F19" s="15" t="n"/>
      <c r="G19" s="15">
        <f>G18-M19+D19</f>
        <v/>
      </c>
      <c r="H19" s="15">
        <f>H18-M19</f>
        <v/>
      </c>
      <c r="I19" s="16" t="n">
        <v>0.6</v>
      </c>
      <c r="J19" s="15">
        <f>ROUND((G18)*0.009/12 +D19* F19*0.009/12, 2)</f>
        <v/>
      </c>
      <c r="K19" s="15">
        <f>B19-C19</f>
        <v/>
      </c>
      <c r="L19" s="15" t="n"/>
      <c r="M19" s="15">
        <f>C19-J19</f>
        <v/>
      </c>
      <c r="N19" s="15" t="n"/>
      <c r="O19" s="15">
        <f>J19+K19+L19</f>
        <v/>
      </c>
    </row>
    <row r="20">
      <c r="A20" s="14" t="n">
        <v>44783</v>
      </c>
      <c r="B20" s="15" t="n">
        <v>766.71</v>
      </c>
      <c r="C20" s="15">
        <f>ROUND(1056.64*I20, 2)</f>
        <v/>
      </c>
      <c r="D20" s="15" t="n">
        <v>23200</v>
      </c>
      <c r="E20" s="14" t="n">
        <v>44775</v>
      </c>
      <c r="F20" s="17">
        <f>(A20-E20-1)/(A20-A19-1)</f>
        <v/>
      </c>
      <c r="G20" s="15">
        <f>G19-M20+D20</f>
        <v/>
      </c>
      <c r="H20" s="15">
        <f>H19-M20</f>
        <v/>
      </c>
      <c r="I20" s="16" t="n">
        <v>0.7</v>
      </c>
      <c r="J20" s="15">
        <f>ROUND((G19)*0.009/12 +D20* F20*0.009/12, 2)</f>
        <v/>
      </c>
      <c r="K20" s="15">
        <f>B20-C20</f>
        <v/>
      </c>
      <c r="L20" s="15" t="n"/>
      <c r="M20" s="15">
        <f>C20-J20</f>
        <v/>
      </c>
      <c r="N20" s="15" t="n"/>
      <c r="O20" s="15">
        <f>J20+K20+L20</f>
        <v/>
      </c>
      <c r="P20" s="1" t="inlineStr">
        <is>
          <t>Confirmation atland 22/08/2022</t>
        </is>
      </c>
    </row>
    <row r="21" ht="15.75" customHeight="1">
      <c r="A21" s="14" t="n">
        <v>44814</v>
      </c>
      <c r="B21" s="15" t="n">
        <v>766.71</v>
      </c>
      <c r="C21" s="15">
        <f>ROUND(1056.64*I21, 2)</f>
        <v/>
      </c>
      <c r="D21" s="15" t="n"/>
      <c r="E21" s="15" t="n"/>
      <c r="F21" s="15" t="n"/>
      <c r="G21" s="15">
        <f>G20-M21+D21</f>
        <v/>
      </c>
      <c r="H21" s="15">
        <f>H20-M21</f>
        <v/>
      </c>
      <c r="I21" s="16" t="n">
        <v>0.7</v>
      </c>
      <c r="J21" s="15">
        <f>ROUND((G20)*0.009/12 +D21* F21*0.009/12, 2)</f>
        <v/>
      </c>
      <c r="K21" s="15">
        <f>B21-C21</f>
        <v/>
      </c>
      <c r="L21" s="15" t="n"/>
      <c r="M21" s="15">
        <f>C21-J21</f>
        <v/>
      </c>
      <c r="N21" s="15" t="n"/>
      <c r="O21" s="15">
        <f>J21+K21+L21</f>
        <v/>
      </c>
    </row>
    <row r="22" ht="15.75" customHeight="1">
      <c r="A22" s="14" t="n">
        <v>44844</v>
      </c>
      <c r="B22" s="15" t="n">
        <v>766.71</v>
      </c>
      <c r="C22" s="15">
        <f>ROUND(1056.64*I22, 2)</f>
        <v/>
      </c>
      <c r="D22" s="15" t="n"/>
      <c r="E22" s="15" t="n"/>
      <c r="F22" s="15" t="n"/>
      <c r="G22" s="15">
        <f>G21-M22+D22</f>
        <v/>
      </c>
      <c r="H22" s="15">
        <f>H21-M22</f>
        <v/>
      </c>
      <c r="I22" s="16" t="n">
        <v>0.7</v>
      </c>
      <c r="J22" s="15">
        <f>ROUND((G21)*0.009/12 +D22* F22*0.009/12, 2)</f>
        <v/>
      </c>
      <c r="K22" s="15">
        <f>B22-C22</f>
        <v/>
      </c>
      <c r="L22" s="15" t="n">
        <v>90.55</v>
      </c>
      <c r="M22" s="15">
        <f>C22-J22</f>
        <v/>
      </c>
      <c r="N22" s="15" t="n"/>
      <c r="O22" s="15">
        <f>J22+K22+L22</f>
        <v/>
      </c>
    </row>
    <row r="23" ht="15.75" customHeight="1">
      <c r="A23" s="14" t="n">
        <v>44875</v>
      </c>
      <c r="B23" s="15" t="n">
        <v>766.71</v>
      </c>
      <c r="C23" s="15">
        <f>ROUND(1056.64*I23, 2)</f>
        <v/>
      </c>
      <c r="D23" s="15" t="n"/>
      <c r="E23" s="15" t="n"/>
      <c r="F23" s="15" t="n"/>
      <c r="G23" s="15">
        <f>G22-M23+D23</f>
        <v/>
      </c>
      <c r="H23" s="15">
        <f>H22-M23</f>
        <v/>
      </c>
      <c r="I23" s="16" t="n">
        <v>0.7</v>
      </c>
      <c r="J23" s="15">
        <f>ROUND((G22)*0.009/12 +D23* F23*0.009/12, 2)</f>
        <v/>
      </c>
      <c r="K23" s="15">
        <f>B23-C23</f>
        <v/>
      </c>
      <c r="L23" s="15" t="n">
        <v>-40.55</v>
      </c>
      <c r="M23" s="15">
        <f>C23-J23</f>
        <v/>
      </c>
      <c r="N23" s="15" t="n"/>
      <c r="O23" s="15">
        <f>J23+K23+L23</f>
        <v/>
      </c>
    </row>
    <row r="24" ht="15.75" customHeight="1">
      <c r="A24" s="14" t="n">
        <v>44905</v>
      </c>
      <c r="B24" s="15" t="n">
        <v>766.71</v>
      </c>
      <c r="C24" s="15">
        <f>ROUND(1056.64*I24, 2)</f>
        <v/>
      </c>
      <c r="D24" s="15" t="n"/>
      <c r="E24" s="15" t="n"/>
      <c r="F24" s="15" t="n"/>
      <c r="G24" s="15">
        <f>G23-M24+D24</f>
        <v/>
      </c>
      <c r="H24" s="15">
        <f>H23-M24</f>
        <v/>
      </c>
      <c r="I24" s="16" t="n">
        <v>0.7</v>
      </c>
      <c r="J24" s="15">
        <f>ROUND((G23)*0.009/12 +D24* F24*0.009/12, 2)</f>
        <v/>
      </c>
      <c r="K24" s="15">
        <f>B24-C24</f>
        <v/>
      </c>
      <c r="L24" s="15" t="n">
        <v>20.32</v>
      </c>
      <c r="M24" s="15">
        <f>C24-J24</f>
        <v/>
      </c>
      <c r="N24" s="15" t="n"/>
      <c r="O24" s="15">
        <f>J24+K24+L24</f>
        <v/>
      </c>
    </row>
    <row r="25" ht="15.75" customHeight="1">
      <c r="A25" s="10" t="n">
        <v>44936</v>
      </c>
      <c r="B25" s="11" t="n">
        <v>766.71</v>
      </c>
      <c r="C25" s="11">
        <f>ROUND(1056.64*I25, 2)</f>
        <v/>
      </c>
      <c r="D25" s="11" t="n"/>
      <c r="E25" s="11" t="n"/>
      <c r="F25" s="11" t="n"/>
      <c r="G25" s="11">
        <f>G24-M25+D25</f>
        <v/>
      </c>
      <c r="H25" s="11">
        <f>H24-M25</f>
        <v/>
      </c>
      <c r="I25" s="12" t="n">
        <v>0.7</v>
      </c>
      <c r="J25" s="11">
        <f>ROUND((G24)*0.009/12 +D25* F25*0.009/12, 2)</f>
        <v/>
      </c>
      <c r="K25" s="11">
        <f>B25-C25</f>
        <v/>
      </c>
      <c r="L25" s="11" t="n">
        <v>59.45</v>
      </c>
      <c r="M25" s="11">
        <f>C25-J25</f>
        <v/>
      </c>
      <c r="N25" s="11" t="n"/>
      <c r="O25" s="11">
        <f>J25+K25+L25</f>
        <v/>
      </c>
    </row>
    <row r="26" ht="15.75" customHeight="1">
      <c r="A26" s="10" t="n">
        <v>44967</v>
      </c>
      <c r="B26" s="11" t="n">
        <v>766.71</v>
      </c>
      <c r="C26" s="11">
        <f>ROUND(1056.64*I26, 2)</f>
        <v/>
      </c>
      <c r="D26" s="11" t="n"/>
      <c r="E26" s="11" t="n"/>
      <c r="F26" s="11" t="n"/>
      <c r="G26" s="11">
        <f>G25-M26+D26</f>
        <v/>
      </c>
      <c r="H26" s="11">
        <f>H25-M26</f>
        <v/>
      </c>
      <c r="I26" s="12" t="n">
        <v>0.7</v>
      </c>
      <c r="J26" s="11">
        <f>ROUND((G25)*0.009/12 +D26* F26*0.009/12, 2)</f>
        <v/>
      </c>
      <c r="K26" s="11">
        <f>B26-C26</f>
        <v/>
      </c>
      <c r="L26" s="11" t="n">
        <v>14.36</v>
      </c>
      <c r="M26" s="11">
        <f>C26-J26</f>
        <v/>
      </c>
      <c r="N26" s="11" t="n"/>
      <c r="O26" s="11">
        <f>J26+K26+L26</f>
        <v/>
      </c>
    </row>
    <row r="27" ht="15.75" customHeight="1">
      <c r="A27" s="10" t="n">
        <v>44995</v>
      </c>
      <c r="B27" s="11" t="n">
        <v>766.71</v>
      </c>
      <c r="C27" s="11">
        <f>ROUND(1056.64*I27, 2)</f>
        <v/>
      </c>
      <c r="D27" s="11" t="n"/>
      <c r="E27" s="11" t="n"/>
      <c r="F27" s="11" t="n"/>
      <c r="G27" s="11">
        <f>G26-M27+D27</f>
        <v/>
      </c>
      <c r="H27" s="11">
        <f>H26-M27</f>
        <v/>
      </c>
      <c r="I27" s="12" t="n">
        <v>0.7</v>
      </c>
      <c r="J27" s="11">
        <f>ROUND((G26)*0.009/12 +D27* F27*0.009/12, 2)</f>
        <v/>
      </c>
      <c r="K27" s="11">
        <f>B27-C27</f>
        <v/>
      </c>
      <c r="L27" s="11" t="n">
        <v>16.34</v>
      </c>
      <c r="M27" s="11">
        <f>C27-J27</f>
        <v/>
      </c>
      <c r="N27" s="11" t="n"/>
      <c r="O27" s="11">
        <f>J27+K27+L27</f>
        <v/>
      </c>
    </row>
    <row r="28" ht="15.75" customHeight="1">
      <c r="A28" s="10" t="n">
        <v>45026</v>
      </c>
      <c r="B28" s="11" t="n">
        <v>753.1799999999999</v>
      </c>
      <c r="C28" s="11">
        <f>ROUND(1056.64*I28, 2)</f>
        <v/>
      </c>
      <c r="D28" s="11" t="n"/>
      <c r="E28" s="11" t="n"/>
      <c r="F28" s="11" t="n"/>
      <c r="G28" s="11">
        <f>G27-M28+D28</f>
        <v/>
      </c>
      <c r="H28" s="11">
        <f>H27-M28</f>
        <v/>
      </c>
      <c r="I28" s="12" t="n">
        <v>0.7</v>
      </c>
      <c r="J28" s="11">
        <f>ROUND((G27)*0.009/12 +D28* F28*0.009/12, 2)</f>
        <v/>
      </c>
      <c r="K28" s="11">
        <f>B28-C28</f>
        <v/>
      </c>
      <c r="L28" s="11" t="n">
        <v>15.02</v>
      </c>
      <c r="M28" s="11">
        <f>C28-J28</f>
        <v/>
      </c>
      <c r="N28" s="11" t="n"/>
      <c r="O28" s="11">
        <f>J28+K28+L28</f>
        <v/>
      </c>
      <c r="Q28" s="1" t="inlineStr">
        <is>
          <t>*</t>
        </is>
      </c>
    </row>
    <row r="29" ht="15.75" customHeight="1">
      <c r="A29" s="10" t="n">
        <v>45056</v>
      </c>
      <c r="B29" s="11" t="n">
        <v>753.1799999999999</v>
      </c>
      <c r="C29" s="11">
        <f>ROUND(1056.64*I29, 2)</f>
        <v/>
      </c>
      <c r="D29" s="11" t="n"/>
      <c r="E29" s="11" t="n"/>
      <c r="F29" s="11" t="n"/>
      <c r="G29" s="11">
        <f>G28-M29+D29</f>
        <v/>
      </c>
      <c r="H29" s="11">
        <f>H28-M29</f>
        <v/>
      </c>
      <c r="I29" s="12" t="n">
        <v>0.7</v>
      </c>
      <c r="J29" s="11">
        <f>ROUND((G28)*0.009/12 +D29* F29*0.009/12, 2)</f>
        <v/>
      </c>
      <c r="K29" s="11">
        <f>B29-C29</f>
        <v/>
      </c>
      <c r="L29" s="11" t="n">
        <v>13.27</v>
      </c>
      <c r="M29" s="11">
        <f>C29-J29</f>
        <v/>
      </c>
      <c r="N29" s="11" t="n"/>
      <c r="O29" s="11">
        <f>J29+K29+L29</f>
        <v/>
      </c>
    </row>
    <row r="30" ht="15.75" customHeight="1">
      <c r="A30" s="10" t="n">
        <v>45087</v>
      </c>
      <c r="B30" s="11" t="n">
        <v>753.1799999999999</v>
      </c>
      <c r="C30" s="11">
        <f>ROUND(1056.64*I30, 2)</f>
        <v/>
      </c>
      <c r="D30" s="11" t="n"/>
      <c r="E30" s="11" t="n"/>
      <c r="F30" s="11" t="n"/>
      <c r="G30" s="11">
        <f>G29-M30+D30-0.08</f>
        <v/>
      </c>
      <c r="H30" s="11">
        <f>H29-M30</f>
        <v/>
      </c>
      <c r="I30" s="12" t="n">
        <v>0.7</v>
      </c>
      <c r="J30" s="11">
        <f>ROUND((G29)*0.009/12 +D30* F30*0.009/12, 2)</f>
        <v/>
      </c>
      <c r="K30" s="11">
        <f>B30-C30</f>
        <v/>
      </c>
      <c r="L30" s="11" t="n">
        <v>39.46</v>
      </c>
      <c r="M30" s="11">
        <f>C30-J30</f>
        <v/>
      </c>
      <c r="N30" s="11" t="n"/>
      <c r="O30" s="11">
        <f>J30+K30+L30</f>
        <v/>
      </c>
    </row>
    <row r="31" ht="15.75" customHeight="1">
      <c r="A31" s="18" t="n">
        <v>45117</v>
      </c>
      <c r="B31" s="19" t="n">
        <v>739.65</v>
      </c>
      <c r="C31" s="19">
        <f>ROUND(1056.64*I31, 2)</f>
        <v/>
      </c>
      <c r="D31" s="19" t="n"/>
      <c r="E31" s="19" t="n"/>
      <c r="F31" s="19" t="n"/>
      <c r="G31" s="19">
        <f>G30-M31+D31</f>
        <v/>
      </c>
      <c r="H31" s="19">
        <f>H30-M31</f>
        <v/>
      </c>
      <c r="I31" s="20" t="n">
        <v>0.7</v>
      </c>
      <c r="J31" s="19">
        <f>ROUND((G30)*0.009/12 +D31* F31*0.009/12, 2)</f>
        <v/>
      </c>
      <c r="K31" s="19">
        <f>B31-C31</f>
        <v/>
      </c>
      <c r="L31" s="19" t="n">
        <v>29.46</v>
      </c>
      <c r="M31" s="19">
        <f>C31-J31</f>
        <v/>
      </c>
      <c r="N31" s="19">
        <f>B31-M31</f>
        <v/>
      </c>
      <c r="O31" s="19">
        <f>J31+K31+L31</f>
        <v/>
      </c>
    </row>
    <row r="32" ht="15.75" customHeight="1">
      <c r="A32" s="18" t="n">
        <v>45148</v>
      </c>
      <c r="B32" s="19" t="n">
        <v>739.65</v>
      </c>
      <c r="C32" s="19">
        <f>ROUND(1056.64*I32, 2)</f>
        <v/>
      </c>
      <c r="D32" s="19" t="n"/>
      <c r="E32" s="19" t="n"/>
      <c r="F32" s="19" t="n"/>
      <c r="G32" s="19">
        <f>G31-M32+D32</f>
        <v/>
      </c>
      <c r="H32" s="19">
        <f>H31-M32</f>
        <v/>
      </c>
      <c r="I32" s="20" t="n">
        <v>0.7</v>
      </c>
      <c r="J32" s="19">
        <f>ROUND((G31)*0.009/12 +D32* F32*0.009/12, 2)</f>
        <v/>
      </c>
      <c r="K32" s="19" t="n"/>
      <c r="L32" s="19" t="n">
        <v>29.46</v>
      </c>
      <c r="M32" s="19">
        <f>C32-J32</f>
        <v/>
      </c>
      <c r="N32" s="19">
        <f>B32-M32</f>
        <v/>
      </c>
      <c r="O32" s="19">
        <f>J32+K32+L32</f>
        <v/>
      </c>
    </row>
    <row r="33" ht="15.75" customHeight="1">
      <c r="A33" s="18" t="n">
        <v>45180</v>
      </c>
      <c r="B33" s="19" t="n">
        <v>950.98</v>
      </c>
      <c r="C33" s="19">
        <f>ROUND(1056.64*I33, 2)</f>
        <v/>
      </c>
      <c r="D33" s="19" t="n">
        <v>46400</v>
      </c>
      <c r="E33" s="18" t="n">
        <v>45155</v>
      </c>
      <c r="F33" s="21">
        <f>(A33-E33-1)/(A33-A32-1)</f>
        <v/>
      </c>
      <c r="G33" s="19">
        <f>G32-M33+D33</f>
        <v/>
      </c>
      <c r="H33" s="19">
        <f>H32-M33</f>
        <v/>
      </c>
      <c r="I33" s="20" t="n">
        <v>0.9</v>
      </c>
      <c r="J33" s="19">
        <f>ROUND((G32)*0.009/12 +D33* F33*0.009/12, 2)</f>
        <v/>
      </c>
      <c r="K33" s="19" t="n"/>
      <c r="L33" s="19" t="n">
        <v>29.46</v>
      </c>
      <c r="M33" s="19">
        <f>C33-J33</f>
        <v/>
      </c>
      <c r="N33" s="19">
        <f>B33-M33</f>
        <v/>
      </c>
      <c r="O33" s="19">
        <f>J33+K33+L33</f>
        <v/>
      </c>
    </row>
    <row r="34" ht="15.75" customHeight="1">
      <c r="A34" s="18" t="n">
        <v>45209</v>
      </c>
      <c r="B34" s="19" t="n">
        <v>950.98</v>
      </c>
      <c r="C34" s="19">
        <f>ROUND(1056.64*I34, 2)</f>
        <v/>
      </c>
      <c r="D34" s="19" t="n"/>
      <c r="E34" s="19" t="n"/>
      <c r="F34" s="19" t="n"/>
      <c r="G34" s="19">
        <f>G33-M34+D34</f>
        <v/>
      </c>
      <c r="H34" s="19">
        <f>H33-M34</f>
        <v/>
      </c>
      <c r="I34" s="20" t="n">
        <v>0.9</v>
      </c>
      <c r="J34" s="19">
        <f>ROUND((G33)*0.009/12 +D34* F34*0.009/12, 2)</f>
        <v/>
      </c>
      <c r="K34" s="19" t="n"/>
      <c r="L34" s="19" t="n">
        <v>29.46</v>
      </c>
      <c r="M34" s="19">
        <f>C34-J34</f>
        <v/>
      </c>
      <c r="N34" s="19">
        <f>B34-M34</f>
        <v/>
      </c>
      <c r="O34" s="19">
        <f>J34+K34+L34</f>
        <v/>
      </c>
    </row>
    <row r="35" ht="15.75" customHeight="1">
      <c r="A35" s="18" t="n">
        <v>45240</v>
      </c>
      <c r="B35" s="19" t="n">
        <v>950.98</v>
      </c>
      <c r="C35" s="19">
        <f>ROUND(1056.64*I35, 2)</f>
        <v/>
      </c>
      <c r="D35" s="19" t="n"/>
      <c r="E35" s="19" t="n"/>
      <c r="F35" s="19" t="n"/>
      <c r="G35" s="19">
        <f>G34-M35+D35</f>
        <v/>
      </c>
      <c r="H35" s="19">
        <f>H34-M35</f>
        <v/>
      </c>
      <c r="I35" s="20" t="n">
        <v>0.9</v>
      </c>
      <c r="J35" s="19">
        <f>ROUND((G34)*0.009/12 +D35* F35*0.009/12, 2)</f>
        <v/>
      </c>
      <c r="K35" s="19" t="n"/>
      <c r="L35" s="19" t="n">
        <v>29.46</v>
      </c>
      <c r="M35" s="19">
        <f>C35-J35</f>
        <v/>
      </c>
      <c r="N35" s="19">
        <f>B35-M35</f>
        <v/>
      </c>
      <c r="O35" s="19">
        <f>J35+K35+L35</f>
        <v/>
      </c>
    </row>
    <row r="36" ht="15.75" customHeight="1">
      <c r="A36" s="18" t="n">
        <v>45271</v>
      </c>
      <c r="B36" s="19" t="n">
        <v>950.98</v>
      </c>
      <c r="C36" s="19">
        <f>ROUND(1056.64*I36, 2)</f>
        <v/>
      </c>
      <c r="D36" s="19" t="n"/>
      <c r="E36" s="19" t="n"/>
      <c r="F36" s="19" t="n"/>
      <c r="G36" s="19">
        <f>G35-M36+D36</f>
        <v/>
      </c>
      <c r="H36" s="19">
        <f>H35-M36</f>
        <v/>
      </c>
      <c r="I36" s="20" t="n">
        <v>0.9</v>
      </c>
      <c r="J36" s="19">
        <f>ROUND((G35)*0.009/12 +D36* F36*0.009/12, 2)</f>
        <v/>
      </c>
      <c r="K36" s="19" t="n"/>
      <c r="L36" s="19" t="n">
        <v>29.46</v>
      </c>
      <c r="M36" s="19">
        <f>C36-J36</f>
        <v/>
      </c>
      <c r="N36" s="19">
        <f>B36-M36</f>
        <v/>
      </c>
      <c r="O36" s="19">
        <f>J36+K36+L36</f>
        <v/>
      </c>
    </row>
    <row r="37" ht="15.75" customHeight="1">
      <c r="A37" s="22" t="n">
        <v>45301</v>
      </c>
      <c r="B37" s="23" t="n">
        <v>950.98</v>
      </c>
      <c r="C37" s="23">
        <f>ROUND(1056.64*I37, 2)</f>
        <v/>
      </c>
      <c r="D37" s="23" t="n"/>
      <c r="E37" s="23" t="n"/>
      <c r="F37" s="23" t="n"/>
      <c r="G37" s="23">
        <f>G36-M37+D37</f>
        <v/>
      </c>
      <c r="H37" s="23">
        <f>H36-M37</f>
        <v/>
      </c>
      <c r="I37" s="24" t="n">
        <v>0.9</v>
      </c>
      <c r="J37" s="23">
        <f>ROUND((G36)*0.009/12 +D37* F37*0.009/12, 2)</f>
        <v/>
      </c>
      <c r="K37" s="23" t="n"/>
      <c r="L37" s="23" t="n">
        <v>29</v>
      </c>
      <c r="M37" s="23">
        <f>C37-J37</f>
        <v/>
      </c>
      <c r="N37" s="23">
        <f>B37-M37</f>
        <v/>
      </c>
      <c r="O37" s="23">
        <f>J37+K37+L37</f>
        <v/>
      </c>
    </row>
    <row r="38" ht="15.75" customHeight="1">
      <c r="A38" s="22" t="n">
        <v>45334</v>
      </c>
      <c r="B38" s="23" t="n">
        <v>950.98</v>
      </c>
      <c r="C38" s="23">
        <f>ROUND(1056.64*I38, 2)</f>
        <v/>
      </c>
      <c r="D38" s="23" t="n"/>
      <c r="E38" s="23" t="n"/>
      <c r="F38" s="23" t="n"/>
      <c r="G38" s="23">
        <f>G37-M38+D38</f>
        <v/>
      </c>
      <c r="H38" s="23">
        <f>H37-M38</f>
        <v/>
      </c>
      <c r="I38" s="24" t="n">
        <v>0.9</v>
      </c>
      <c r="J38" s="23">
        <f>ROUND((G37)*0.009/12 +D38* F38*0.009/12, 2)</f>
        <v/>
      </c>
      <c r="K38" s="23" t="n"/>
      <c r="L38" s="23" t="n">
        <v>29</v>
      </c>
      <c r="M38" s="23">
        <f>C38-J38</f>
        <v/>
      </c>
      <c r="N38" s="23">
        <f>B38-M38</f>
        <v/>
      </c>
      <c r="O38" s="23">
        <f>J38+K38+L38</f>
        <v/>
      </c>
    </row>
    <row r="39" ht="15.75" customHeight="1">
      <c r="A39" s="22" t="n">
        <v>45361</v>
      </c>
      <c r="B39" s="23" t="n">
        <v>1056.64</v>
      </c>
      <c r="C39" s="23">
        <f>ROUND(1056.64*I39, 2)</f>
        <v/>
      </c>
      <c r="D39" s="23" t="n">
        <v>23200</v>
      </c>
      <c r="E39" s="22" t="n">
        <v>45352</v>
      </c>
      <c r="F39" s="25">
        <f>(A39-E39-1)/(A39-A38-1)</f>
        <v/>
      </c>
      <c r="G39" s="23">
        <f>G38-M39+D39</f>
        <v/>
      </c>
      <c r="H39" s="23">
        <f>H38-M39</f>
        <v/>
      </c>
      <c r="I39" s="24" t="n">
        <v>1</v>
      </c>
      <c r="J39" s="23">
        <f>ROUND((G38)*0.009/12 +D39* F39*0.009/12, 2)</f>
        <v/>
      </c>
      <c r="K39" s="23" t="n"/>
      <c r="L39" s="23" t="n">
        <v>29</v>
      </c>
      <c r="M39" s="23">
        <f>C39-J39</f>
        <v/>
      </c>
      <c r="N39" s="23">
        <f>B39-M39</f>
        <v/>
      </c>
      <c r="O39" s="23">
        <f>J39+K39+L39</f>
        <v/>
      </c>
    </row>
    <row r="40" ht="15.75" customHeight="1">
      <c r="A40" s="22" t="n">
        <v>45392</v>
      </c>
      <c r="B40" s="23" t="n">
        <v>1056.64</v>
      </c>
      <c r="C40" s="23">
        <f>ROUND(1056.64*I40, 2)</f>
        <v/>
      </c>
      <c r="D40" s="23" t="n"/>
      <c r="E40" s="23" t="n"/>
      <c r="F40" s="23" t="n"/>
      <c r="G40" s="23">
        <f>G39-M40+D40</f>
        <v/>
      </c>
      <c r="H40" s="23">
        <f>H39-M40</f>
        <v/>
      </c>
      <c r="I40" s="24" t="n">
        <v>1</v>
      </c>
      <c r="J40" s="23">
        <f>ROUND((G39)*0.009/12 +D40* F40*0.009/12, 2)</f>
        <v/>
      </c>
      <c r="K40" s="23" t="n"/>
      <c r="L40" s="23" t="n">
        <v>29</v>
      </c>
      <c r="M40" s="23">
        <f>C40-J40</f>
        <v/>
      </c>
      <c r="N40" s="23">
        <f>B40-M40</f>
        <v/>
      </c>
      <c r="O40" s="23">
        <f>J40+K40+L40</f>
        <v/>
      </c>
    </row>
    <row r="41" ht="15.75" customHeight="1">
      <c r="A41" s="22" t="n">
        <v>45422</v>
      </c>
      <c r="B41" s="23" t="n">
        <v>1056.64</v>
      </c>
      <c r="C41" s="23">
        <f>ROUND(1056.64*I41, 2)</f>
        <v/>
      </c>
      <c r="D41" s="23" t="n"/>
      <c r="E41" s="23" t="n"/>
      <c r="F41" s="23" t="n"/>
      <c r="G41" s="23">
        <f>G40-M41+D41</f>
        <v/>
      </c>
      <c r="H41" s="23">
        <f>H40-M41</f>
        <v/>
      </c>
      <c r="I41" s="24" t="n">
        <v>1</v>
      </c>
      <c r="J41" s="23">
        <f>ROUND((G40)*0.009/12 +D41* F41*0.009/12, 2)</f>
        <v/>
      </c>
      <c r="K41" s="23" t="n"/>
      <c r="L41" s="23" t="n">
        <v>29</v>
      </c>
      <c r="M41" s="23">
        <f>C41-J41</f>
        <v/>
      </c>
      <c r="N41" s="23">
        <f>B41-M41</f>
        <v/>
      </c>
      <c r="O41" s="23">
        <f>J41+K41+L41</f>
        <v/>
      </c>
    </row>
    <row r="42" ht="15.75" customHeight="1">
      <c r="A42" s="22" t="n">
        <v>45453</v>
      </c>
      <c r="B42" s="23" t="n">
        <v>1056.64</v>
      </c>
      <c r="C42" s="23">
        <f>ROUND(1056.64*I42, 2)</f>
        <v/>
      </c>
      <c r="D42" s="23" t="n"/>
      <c r="E42" s="23" t="n"/>
      <c r="F42" s="23" t="n"/>
      <c r="G42" s="23">
        <f>G41-M42+D42</f>
        <v/>
      </c>
      <c r="H42" s="23">
        <f>H41-M42</f>
        <v/>
      </c>
      <c r="I42" s="24" t="n">
        <v>1</v>
      </c>
      <c r="J42" s="23">
        <f>ROUND((G41)*0.009/12 +D42* F42*0.009/12, 2)</f>
        <v/>
      </c>
      <c r="K42" s="23" t="n"/>
      <c r="L42" s="23" t="n">
        <v>28.31</v>
      </c>
      <c r="M42" s="23">
        <f>C42-J42</f>
        <v/>
      </c>
      <c r="N42" s="23">
        <f>B42-M42</f>
        <v/>
      </c>
      <c r="O42" s="23">
        <f>J42+K42+L42</f>
        <v/>
      </c>
    </row>
    <row r="43" ht="15.75" customHeight="1">
      <c r="A43" s="22" t="n">
        <v>45483</v>
      </c>
      <c r="B43" s="23" t="n">
        <v>1056.64</v>
      </c>
      <c r="C43" s="23">
        <f>ROUND(1056.64*I43, 2)</f>
        <v/>
      </c>
      <c r="D43" s="23" t="n"/>
      <c r="E43" s="23" t="n"/>
      <c r="F43" s="23" t="n"/>
      <c r="G43" s="23">
        <f>G42-M43+D43</f>
        <v/>
      </c>
      <c r="H43" s="23">
        <f>H42-M43</f>
        <v/>
      </c>
      <c r="I43" s="24" t="n">
        <v>1</v>
      </c>
      <c r="J43" s="23">
        <f>ROUND((G42)*0.009/12 +D43* F43*0.009/12, 2)</f>
        <v/>
      </c>
      <c r="K43" s="23" t="n"/>
      <c r="L43" s="23" t="n">
        <v>28.31</v>
      </c>
      <c r="M43" s="23">
        <f>C43-J43</f>
        <v/>
      </c>
      <c r="N43" s="23">
        <f>B43-M43</f>
        <v/>
      </c>
      <c r="O43" s="23">
        <f>J43+K43+L43</f>
        <v/>
      </c>
    </row>
    <row r="44" ht="15.75" customHeight="1">
      <c r="A44" s="26" t="n">
        <v>45516</v>
      </c>
      <c r="B44" s="23" t="n">
        <v>1056.64</v>
      </c>
      <c r="C44" s="23">
        <f>ROUND(1056.64*I44, 2)</f>
        <v/>
      </c>
      <c r="D44" s="23" t="n"/>
      <c r="E44" s="23" t="n"/>
      <c r="F44" s="23" t="n"/>
      <c r="G44" s="23">
        <f>G43-M44+D44</f>
        <v/>
      </c>
      <c r="H44" s="23">
        <f>H43-M44</f>
        <v/>
      </c>
      <c r="I44" s="24" t="n">
        <v>1</v>
      </c>
      <c r="J44" s="23">
        <f>ROUND((G43)*0.009/12 +D44* F44*0.009/12, 2)</f>
        <v/>
      </c>
      <c r="K44" s="23" t="n"/>
      <c r="L44" s="23" t="n">
        <v>28.31</v>
      </c>
      <c r="M44" s="23">
        <f>C44-J44</f>
        <v/>
      </c>
      <c r="N44" s="23">
        <f>B44-M44</f>
        <v/>
      </c>
      <c r="O44" s="23">
        <f>J44+K44+L44</f>
        <v/>
      </c>
    </row>
    <row r="45" ht="15.75" customHeight="1">
      <c r="A45" s="22" t="n">
        <v>45545</v>
      </c>
      <c r="B45" s="23" t="n">
        <v>1056.64</v>
      </c>
      <c r="C45" s="23">
        <f>ROUND(1056.64*I45, 2)</f>
        <v/>
      </c>
      <c r="D45" s="23" t="n"/>
      <c r="E45" s="23" t="n"/>
      <c r="F45" s="23" t="n"/>
      <c r="G45" s="23">
        <f>G44-M45+D45</f>
        <v/>
      </c>
      <c r="H45" s="23">
        <f>H44-M45</f>
        <v/>
      </c>
      <c r="I45" s="24" t="n">
        <v>1</v>
      </c>
      <c r="J45" s="23">
        <f>ROUND((G44)*0.009/12 +D45* F45*0.009/12, 2)</f>
        <v/>
      </c>
      <c r="K45" s="23" t="n"/>
      <c r="L45" s="23" t="n">
        <v>28.31</v>
      </c>
      <c r="M45" s="23">
        <f>C45-J45</f>
        <v/>
      </c>
      <c r="N45" s="23">
        <f>B45-M45</f>
        <v/>
      </c>
      <c r="O45" s="23">
        <f>J45+K45+L45</f>
        <v/>
      </c>
    </row>
    <row r="46" ht="15.75" customHeight="1">
      <c r="A46" s="22" t="n">
        <v>45575</v>
      </c>
      <c r="B46" s="23" t="n">
        <v>1056.64</v>
      </c>
      <c r="C46" s="23">
        <f>ROUND(1056.64*I46, 2)</f>
        <v/>
      </c>
      <c r="D46" s="23" t="n"/>
      <c r="E46" s="23" t="n"/>
      <c r="F46" s="23" t="n"/>
      <c r="G46" s="23">
        <f>G45-M46+D46</f>
        <v/>
      </c>
      <c r="H46" s="23">
        <f>H45-M46</f>
        <v/>
      </c>
      <c r="I46" s="24" t="n">
        <v>1</v>
      </c>
      <c r="J46" s="23">
        <f>ROUND((G45)*0.009/12 +D46* F46*0.009/12, 2)</f>
        <v/>
      </c>
      <c r="K46" s="23" t="n"/>
      <c r="L46" s="23" t="n">
        <v>28.31</v>
      </c>
      <c r="M46" s="23">
        <f>C46-J46</f>
        <v/>
      </c>
      <c r="N46" s="23">
        <f>B46-M46</f>
        <v/>
      </c>
      <c r="O46" s="23">
        <f>J46+K46+L46</f>
        <v/>
      </c>
    </row>
    <row r="47" ht="15.75" customHeight="1">
      <c r="A47" s="26" t="n">
        <v>45608</v>
      </c>
      <c r="B47" s="23" t="n">
        <v>1056.64</v>
      </c>
      <c r="C47" s="23">
        <f>ROUND(1056.64*I47, 2)</f>
        <v/>
      </c>
      <c r="D47" s="23" t="n"/>
      <c r="E47" s="23" t="n"/>
      <c r="F47" s="23" t="n"/>
      <c r="G47" s="23">
        <f>G46-M47+D47</f>
        <v/>
      </c>
      <c r="H47" s="23">
        <f>H46-M47</f>
        <v/>
      </c>
      <c r="I47" s="24" t="n">
        <v>1</v>
      </c>
      <c r="J47" s="23">
        <f>ROUND((G46)*0.009/12 +D47* F47*0.009/12, 2)</f>
        <v/>
      </c>
      <c r="K47" s="23" t="n"/>
      <c r="L47" s="23" t="n">
        <v>28.31</v>
      </c>
      <c r="M47" s="23">
        <f>C47-J47</f>
        <v/>
      </c>
      <c r="N47" s="23">
        <f>B47-M47</f>
        <v/>
      </c>
      <c r="O47" s="23">
        <f>J47+K47+L47</f>
        <v/>
      </c>
    </row>
    <row r="48" ht="15.75" customHeight="1">
      <c r="A48" s="22" t="n">
        <v>45636</v>
      </c>
      <c r="B48" s="23" t="n">
        <v>1056.64</v>
      </c>
      <c r="C48" s="23">
        <f>ROUND(1056.64*I48, 2)</f>
        <v/>
      </c>
      <c r="D48" s="23" t="n"/>
      <c r="E48" s="23" t="n"/>
      <c r="F48" s="23" t="n"/>
      <c r="G48" s="23">
        <f>G47-M48+D48</f>
        <v/>
      </c>
      <c r="H48" s="23">
        <f>H47-M48</f>
        <v/>
      </c>
      <c r="I48" s="24" t="n">
        <v>1</v>
      </c>
      <c r="J48" s="23">
        <f>ROUND((G47)*0.009/12 +D48* F48*0.009/12, 2)</f>
        <v/>
      </c>
      <c r="K48" s="23" t="n"/>
      <c r="L48" s="23" t="n">
        <v>28.31</v>
      </c>
      <c r="M48" s="23">
        <f>C48-J48</f>
        <v/>
      </c>
      <c r="N48" s="23">
        <f>B48-M48</f>
        <v/>
      </c>
      <c r="O48" s="23">
        <f>J48+K48+L48</f>
        <v/>
      </c>
    </row>
    <row r="49" ht="15.75" customHeight="1">
      <c r="A49" s="27" t="n">
        <v>45667</v>
      </c>
      <c r="B49" s="19" t="n">
        <v>1056.64</v>
      </c>
      <c r="C49" s="19">
        <f>ROUND(1056.64*I49, 2)</f>
        <v/>
      </c>
      <c r="D49" s="19" t="n"/>
      <c r="E49" s="19" t="n"/>
      <c r="F49" s="19" t="n"/>
      <c r="G49" s="19">
        <f>G48-M49+D49</f>
        <v/>
      </c>
      <c r="H49" s="19">
        <f>H48-M49</f>
        <v/>
      </c>
      <c r="I49" s="20" t="n">
        <v>1</v>
      </c>
      <c r="J49" s="19">
        <f>ROUND((G48)*0.009/12 +D49* F49*0.009/12, 2)</f>
        <v/>
      </c>
      <c r="K49" s="19" t="n"/>
      <c r="L49" s="28" t="n">
        <v>27.56</v>
      </c>
      <c r="M49" s="19">
        <f>C49-J49</f>
        <v/>
      </c>
      <c r="N49" s="19">
        <f>B49-M49</f>
        <v/>
      </c>
      <c r="O49" s="19">
        <f>J49+K49+L49</f>
        <v/>
      </c>
    </row>
    <row r="50" ht="15.75" customHeight="1">
      <c r="A50" s="27" t="n">
        <v>45698</v>
      </c>
      <c r="B50" s="19" t="n">
        <v>1056.64</v>
      </c>
      <c r="C50" s="19">
        <f>ROUND(1056.64*I50, 2)</f>
        <v/>
      </c>
      <c r="D50" s="19" t="n"/>
      <c r="E50" s="19" t="n"/>
      <c r="F50" s="19" t="n"/>
      <c r="G50" s="19">
        <f>G49-M50+D50</f>
        <v/>
      </c>
      <c r="H50" s="19">
        <f>H49-M50</f>
        <v/>
      </c>
      <c r="I50" s="20" t="n">
        <v>1</v>
      </c>
      <c r="J50" s="19">
        <f>ROUND((G49)*0.009/12 +D50* F50*0.009/12, 2)</f>
        <v/>
      </c>
      <c r="K50" s="19" t="n"/>
      <c r="L50" s="28" t="n">
        <v>27.56</v>
      </c>
      <c r="M50" s="19">
        <f>C50-J50</f>
        <v/>
      </c>
      <c r="N50" s="19">
        <f>B50-M50</f>
        <v/>
      </c>
      <c r="O50" s="19">
        <f>J50+K50+L50</f>
        <v/>
      </c>
    </row>
    <row r="51" ht="15.75" customHeight="1">
      <c r="A51" s="27" t="n">
        <v>45726</v>
      </c>
      <c r="B51" s="19" t="n">
        <v>1056.64</v>
      </c>
      <c r="C51" s="19">
        <f>ROUND(1056.64*I51, 2)</f>
        <v/>
      </c>
      <c r="D51" s="19" t="n"/>
      <c r="E51" s="19" t="n"/>
      <c r="F51" s="19" t="n"/>
      <c r="G51" s="19">
        <f>G50-M51+D51</f>
        <v/>
      </c>
      <c r="H51" s="19">
        <f>H50-M51</f>
        <v/>
      </c>
      <c r="I51" s="20" t="n">
        <v>1</v>
      </c>
      <c r="J51" s="19">
        <f>ROUND((G50)*0.009/12 +D51* F51*0.009/12, 2)</f>
        <v/>
      </c>
      <c r="K51" s="19" t="n"/>
      <c r="L51" s="28" t="n">
        <v>27.56</v>
      </c>
      <c r="M51" s="19">
        <f>C51-J51</f>
        <v/>
      </c>
      <c r="N51" s="19">
        <f>B51-M51</f>
        <v/>
      </c>
      <c r="O51" s="19">
        <f>J51+K51+L51</f>
        <v/>
      </c>
    </row>
    <row r="52" ht="15.75" customHeight="1">
      <c r="A52" s="27" t="n">
        <v>45757</v>
      </c>
      <c r="B52" s="19" t="n">
        <v>1056.64</v>
      </c>
      <c r="C52" s="19">
        <f>ROUND(1056.64*I52, 2)</f>
        <v/>
      </c>
      <c r="D52" s="19" t="n"/>
      <c r="E52" s="19" t="n"/>
      <c r="F52" s="19" t="n"/>
      <c r="G52" s="19">
        <f>G51-M52+D52</f>
        <v/>
      </c>
      <c r="H52" s="19">
        <f>H51-M52</f>
        <v/>
      </c>
      <c r="I52" s="20" t="n">
        <v>1</v>
      </c>
      <c r="J52" s="19">
        <f>ROUND((G51)*0.009/12 +D52* F52*0.009/12, 2)</f>
        <v/>
      </c>
      <c r="K52" s="19" t="n"/>
      <c r="L52" s="28" t="n">
        <v>27.56</v>
      </c>
      <c r="M52" s="19">
        <f>C52-J52</f>
        <v/>
      </c>
      <c r="N52" s="19">
        <f>B52-M52</f>
        <v/>
      </c>
      <c r="O52" s="19">
        <f>J52+K52+L52</f>
        <v/>
      </c>
    </row>
    <row r="53" ht="15.75" customHeight="1">
      <c r="A53" s="27" t="n">
        <v>45787</v>
      </c>
      <c r="B53" s="19" t="n">
        <v>1056.64</v>
      </c>
      <c r="C53" s="19">
        <f>ROUND(1056.64*I53, 2)</f>
        <v/>
      </c>
      <c r="D53" s="19" t="n"/>
      <c r="E53" s="19" t="n"/>
      <c r="F53" s="19" t="n"/>
      <c r="G53" s="19">
        <f>G52-M53+D53</f>
        <v/>
      </c>
      <c r="H53" s="19">
        <f>H52-M53</f>
        <v/>
      </c>
      <c r="I53" s="20" t="n">
        <v>1</v>
      </c>
      <c r="J53" s="19">
        <f>ROUND((G52)*0.009/12 +D53* F53*0.009/12, 2)</f>
        <v/>
      </c>
      <c r="K53" s="19" t="n"/>
      <c r="L53" s="28" t="n">
        <v>27.56</v>
      </c>
      <c r="M53" s="19">
        <f>C53-J53</f>
        <v/>
      </c>
      <c r="N53" s="19">
        <f>B53-M53</f>
        <v/>
      </c>
      <c r="O53" s="19">
        <f>J53+K53+L53</f>
        <v/>
      </c>
    </row>
    <row r="54" ht="15.75" customHeight="1">
      <c r="A54" s="27" t="n">
        <v>45818</v>
      </c>
      <c r="B54" s="19" t="n">
        <v>1056.64</v>
      </c>
      <c r="C54" s="19">
        <f>ROUND(1056.64*I54, 2)</f>
        <v/>
      </c>
      <c r="D54" s="19" t="n"/>
      <c r="E54" s="19" t="n"/>
      <c r="F54" s="19" t="n"/>
      <c r="G54" s="19">
        <f>G53-M54+D54</f>
        <v/>
      </c>
      <c r="H54" s="19">
        <f>H53-M54</f>
        <v/>
      </c>
      <c r="I54" s="20" t="n">
        <v>1</v>
      </c>
      <c r="J54" s="19">
        <f>ROUND((G53)*0.009/12 +D54* F54*0.009/12, 2)</f>
        <v/>
      </c>
      <c r="K54" s="19" t="n"/>
      <c r="L54" s="28" t="n">
        <v>27.56</v>
      </c>
      <c r="M54" s="19">
        <f>C54-J54</f>
        <v/>
      </c>
      <c r="N54" s="19">
        <f>B54-M54</f>
        <v/>
      </c>
      <c r="O54" s="19">
        <f>J54+K54+L54</f>
        <v/>
      </c>
    </row>
    <row r="55" ht="15.75" customHeight="1">
      <c r="A55" s="27" t="n">
        <v>45848</v>
      </c>
      <c r="B55" s="19" t="n">
        <v>1056.64</v>
      </c>
      <c r="C55" s="19">
        <f>ROUND(1056.64*I55, 2)</f>
        <v/>
      </c>
      <c r="D55" s="19" t="n"/>
      <c r="E55" s="19" t="n"/>
      <c r="F55" s="19" t="n"/>
      <c r="G55" s="19">
        <f>G54-M55+D55</f>
        <v/>
      </c>
      <c r="H55" s="19">
        <f>H54-M55</f>
        <v/>
      </c>
      <c r="I55" s="20" t="n">
        <v>1</v>
      </c>
      <c r="J55" s="19">
        <f>ROUND((G54)*0.009/12 +D55* F55*0.009/12, 2)</f>
        <v/>
      </c>
      <c r="K55" s="19" t="n"/>
      <c r="L55" s="28" t="n">
        <v>27.56</v>
      </c>
      <c r="M55" s="19">
        <f>C55-J55</f>
        <v/>
      </c>
      <c r="N55" s="19">
        <f>B55-M55</f>
        <v/>
      </c>
      <c r="O55" s="19">
        <f>J55+K55+L55</f>
        <v/>
      </c>
    </row>
    <row r="56" ht="15.75" customHeight="1">
      <c r="A56" s="27" t="n">
        <v>45879</v>
      </c>
      <c r="B56" s="19" t="n">
        <v>1056.64</v>
      </c>
      <c r="C56" s="19">
        <f>ROUND(1056.64*I56, 2)</f>
        <v/>
      </c>
      <c r="D56" s="19" t="n"/>
      <c r="E56" s="19" t="n"/>
      <c r="F56" s="19" t="n"/>
      <c r="G56" s="19">
        <f>G55-M56+D56</f>
        <v/>
      </c>
      <c r="H56" s="19">
        <f>H55-M56</f>
        <v/>
      </c>
      <c r="I56" s="20" t="n">
        <v>1</v>
      </c>
      <c r="J56" s="19">
        <f>ROUND((G55)*0.009/12 +D56* F56*0.009/12, 2)</f>
        <v/>
      </c>
      <c r="K56" s="19" t="n"/>
      <c r="L56" s="28" t="n">
        <v>27.56</v>
      </c>
      <c r="M56" s="19">
        <f>C56-J56</f>
        <v/>
      </c>
      <c r="N56" s="19">
        <f>B56-M56</f>
        <v/>
      </c>
      <c r="O56" s="19">
        <f>J56+K56+L56</f>
        <v/>
      </c>
    </row>
    <row r="57" ht="15.75" customHeight="1">
      <c r="A57" s="27" t="n">
        <v>45910</v>
      </c>
      <c r="B57" s="19" t="n">
        <v>1056.64</v>
      </c>
      <c r="C57" s="19">
        <f>ROUND(1056.64*I57, 2)</f>
        <v/>
      </c>
      <c r="D57" s="19" t="n"/>
      <c r="E57" s="19" t="n"/>
      <c r="F57" s="19" t="n"/>
      <c r="G57" s="19">
        <f>G56-M57+D57</f>
        <v/>
      </c>
      <c r="H57" s="19">
        <f>H56-M57</f>
        <v/>
      </c>
      <c r="I57" s="20" t="n">
        <v>1</v>
      </c>
      <c r="J57" s="19">
        <f>ROUND((G56)*0.009/12 +D57* F57*0.009/12, 2)</f>
        <v/>
      </c>
      <c r="K57" s="19" t="n"/>
      <c r="L57" s="28" t="n">
        <v>27.56</v>
      </c>
      <c r="M57" s="19">
        <f>C57-J57</f>
        <v/>
      </c>
      <c r="N57" s="19">
        <f>B57-M57</f>
        <v/>
      </c>
      <c r="O57" s="19">
        <f>J57+K57+L57</f>
        <v/>
      </c>
    </row>
    <row r="58" ht="15.75" customHeight="1">
      <c r="A58" s="27" t="n">
        <v>45940</v>
      </c>
      <c r="B58" s="19" t="n">
        <v>1056.64</v>
      </c>
      <c r="C58" s="19">
        <f>ROUND(1056.64*I58, 2)</f>
        <v/>
      </c>
      <c r="D58" s="19" t="n"/>
      <c r="E58" s="19" t="n"/>
      <c r="F58" s="19" t="n"/>
      <c r="G58" s="19">
        <f>G57-M58+D58</f>
        <v/>
      </c>
      <c r="H58" s="19">
        <f>H57-M58</f>
        <v/>
      </c>
      <c r="I58" s="20" t="n">
        <v>1</v>
      </c>
      <c r="J58" s="19">
        <f>ROUND((G57)*0.009/12 +D58* F58*0.009/12, 2)</f>
        <v/>
      </c>
      <c r="K58" s="19" t="n"/>
      <c r="L58" s="28" t="n">
        <v>27.56</v>
      </c>
      <c r="M58" s="19">
        <f>C58-J58</f>
        <v/>
      </c>
      <c r="N58" s="19">
        <f>B58-M58</f>
        <v/>
      </c>
      <c r="O58" s="19">
        <f>J58+K58+L58</f>
        <v/>
      </c>
    </row>
    <row r="59" ht="15.75" customHeight="1">
      <c r="A59" s="27" t="n">
        <v>45971</v>
      </c>
      <c r="B59" s="19" t="n">
        <v>1056.64</v>
      </c>
      <c r="C59" s="19">
        <f>ROUND(1056.64*I59, 2)</f>
        <v/>
      </c>
      <c r="D59" s="19" t="n"/>
      <c r="E59" s="19" t="n"/>
      <c r="F59" s="19" t="n"/>
      <c r="G59" s="19">
        <f>G58-M59+D59</f>
        <v/>
      </c>
      <c r="H59" s="19">
        <f>H58-M59</f>
        <v/>
      </c>
      <c r="I59" s="20" t="n">
        <v>1</v>
      </c>
      <c r="J59" s="19">
        <f>ROUND((G58)*0.009/12 +D59* F59*0.009/12, 2)</f>
        <v/>
      </c>
      <c r="K59" s="19" t="n"/>
      <c r="L59" s="28" t="n">
        <v>27.56</v>
      </c>
      <c r="M59" s="19">
        <f>C59-J59</f>
        <v/>
      </c>
      <c r="N59" s="19">
        <f>B59-M59</f>
        <v/>
      </c>
      <c r="O59" s="19">
        <f>J59+K59+L59</f>
        <v/>
      </c>
    </row>
    <row r="60" ht="15.75" customHeight="1">
      <c r="A60" s="27" t="n">
        <v>46001</v>
      </c>
      <c r="B60" s="19" t="n">
        <v>1056.64</v>
      </c>
      <c r="C60" s="19">
        <f>ROUND(1056.64*I60, 2)</f>
        <v/>
      </c>
      <c r="D60" s="19" t="n"/>
      <c r="E60" s="19" t="n"/>
      <c r="F60" s="19" t="n"/>
      <c r="G60" s="19">
        <f>G59-M60+D60</f>
        <v/>
      </c>
      <c r="H60" s="19">
        <f>H59-M60</f>
        <v/>
      </c>
      <c r="I60" s="20" t="n">
        <v>1</v>
      </c>
      <c r="J60" s="19">
        <f>ROUND((G59)*0.009/12 +D60* F60*0.009/12, 2)</f>
        <v/>
      </c>
      <c r="K60" s="19" t="n"/>
      <c r="L60" s="28" t="n">
        <v>27.56</v>
      </c>
      <c r="M60" s="19">
        <f>C60-J60</f>
        <v/>
      </c>
      <c r="N60" s="19">
        <f>B60-M60</f>
        <v/>
      </c>
      <c r="O60" s="19">
        <f>J60+K60+L60</f>
        <v/>
      </c>
    </row>
    <row r="61" ht="15.75" customHeight="1">
      <c r="A61" s="27" t="n">
        <v>46032</v>
      </c>
      <c r="B61" s="19" t="n">
        <v>1056.64</v>
      </c>
      <c r="C61" s="19">
        <f>ROUND(1056.64*I61, 2)</f>
        <v/>
      </c>
      <c r="D61" s="19" t="n"/>
      <c r="E61" s="19" t="n"/>
      <c r="F61" s="19" t="n"/>
      <c r="G61" s="19">
        <f>G60-M61+D61</f>
        <v/>
      </c>
      <c r="H61" s="19">
        <f>H60-M61</f>
        <v/>
      </c>
      <c r="I61" s="20" t="n">
        <v>1</v>
      </c>
      <c r="J61" s="19">
        <f>ROUND((G60)*0.009/12 +D61* F61*0.009/12, 2)</f>
        <v/>
      </c>
      <c r="K61" s="19" t="n"/>
      <c r="L61" s="28" t="n">
        <v>27.56</v>
      </c>
      <c r="M61" s="19">
        <f>C61-J61</f>
        <v/>
      </c>
      <c r="N61" s="19">
        <f>B61-M61</f>
        <v/>
      </c>
      <c r="O61" s="19">
        <f>J61+K61+L61</f>
        <v/>
      </c>
    </row>
    <row r="62" ht="15.75" customHeight="1">
      <c r="A62" s="27" t="n">
        <v>46063</v>
      </c>
      <c r="B62" s="19" t="n">
        <v>1056.64</v>
      </c>
      <c r="C62" s="19">
        <f>ROUND(1056.64*I62, 2)</f>
        <v/>
      </c>
      <c r="D62" s="19" t="n"/>
      <c r="E62" s="19" t="n"/>
      <c r="F62" s="19" t="n"/>
      <c r="G62" s="19">
        <f>G61-M62+D62</f>
        <v/>
      </c>
      <c r="H62" s="19">
        <f>H61-M62</f>
        <v/>
      </c>
      <c r="I62" s="20" t="n">
        <v>1</v>
      </c>
      <c r="J62" s="19">
        <f>ROUND((G61)*0.009/12 +D62* F62*0.009/12, 2)</f>
        <v/>
      </c>
      <c r="K62" s="19" t="n"/>
      <c r="L62" s="28" t="n">
        <v>27.56</v>
      </c>
      <c r="M62" s="19">
        <f>C62-J62</f>
        <v/>
      </c>
      <c r="N62" s="19">
        <f>B62-M62</f>
        <v/>
      </c>
      <c r="O62" s="19">
        <f>J62+K62+L62</f>
        <v/>
      </c>
    </row>
    <row r="63" ht="15.75" customHeight="1">
      <c r="A63" s="27" t="n">
        <v>46091</v>
      </c>
      <c r="B63" s="19" t="n">
        <v>1056.64</v>
      </c>
      <c r="C63" s="19">
        <f>ROUND(1056.64*I63, 2)</f>
        <v/>
      </c>
      <c r="D63" s="19" t="n"/>
      <c r="E63" s="19" t="n"/>
      <c r="F63" s="19" t="n"/>
      <c r="G63" s="19">
        <f>G62-M63+D63</f>
        <v/>
      </c>
      <c r="H63" s="19">
        <f>H62-M63</f>
        <v/>
      </c>
      <c r="I63" s="20" t="n">
        <v>1</v>
      </c>
      <c r="J63" s="19">
        <f>ROUND((G62)*0.009/12 +D63* F63*0.009/12, 2)</f>
        <v/>
      </c>
      <c r="K63" s="19" t="n"/>
      <c r="L63" s="28" t="n">
        <v>27.56</v>
      </c>
      <c r="M63" s="19">
        <f>C63-J63</f>
        <v/>
      </c>
      <c r="N63" s="19">
        <f>B63-M63</f>
        <v/>
      </c>
      <c r="O63" s="19">
        <f>J63+K63+L63</f>
        <v/>
      </c>
    </row>
    <row r="64" ht="15.75" customHeight="1">
      <c r="A64" s="27" t="n">
        <v>46122</v>
      </c>
      <c r="B64" s="19" t="n">
        <v>1056.64</v>
      </c>
      <c r="C64" s="19">
        <f>ROUND(1056.64*I64, 2)</f>
        <v/>
      </c>
      <c r="D64" s="19" t="n"/>
      <c r="E64" s="19" t="n"/>
      <c r="F64" s="19" t="n"/>
      <c r="G64" s="19">
        <f>G63-M64+D64</f>
        <v/>
      </c>
      <c r="H64" s="19">
        <f>H63-M64</f>
        <v/>
      </c>
      <c r="I64" s="20" t="n">
        <v>1</v>
      </c>
      <c r="J64" s="19">
        <f>ROUND((G63)*0.009/12 +D64* F64*0.009/12, 2)</f>
        <v/>
      </c>
      <c r="K64" s="19" t="n"/>
      <c r="L64" s="28" t="n">
        <v>27.56</v>
      </c>
      <c r="M64" s="19">
        <f>C64-J64</f>
        <v/>
      </c>
      <c r="N64" s="19">
        <f>B64-M64</f>
        <v/>
      </c>
      <c r="O64" s="19">
        <f>J64+K64+L64</f>
        <v/>
      </c>
    </row>
    <row r="65" ht="15.75" customHeight="1">
      <c r="A65" s="27" t="n">
        <v>46152</v>
      </c>
      <c r="B65" s="19" t="n">
        <v>1056.64</v>
      </c>
      <c r="C65" s="19">
        <f>ROUND(1056.64*I65, 2)</f>
        <v/>
      </c>
      <c r="D65" s="19" t="n"/>
      <c r="E65" s="19" t="n"/>
      <c r="F65" s="19" t="n"/>
      <c r="G65" s="19">
        <f>G64-M65+D65</f>
        <v/>
      </c>
      <c r="H65" s="19">
        <f>H64-M65</f>
        <v/>
      </c>
      <c r="I65" s="20" t="n">
        <v>1</v>
      </c>
      <c r="J65" s="19">
        <f>ROUND((G64)*0.009/12 +D65* F65*0.009/12, 2)</f>
        <v/>
      </c>
      <c r="K65" s="19" t="n"/>
      <c r="L65" s="28" t="n">
        <v>27.56</v>
      </c>
      <c r="M65" s="19">
        <f>C65-J65</f>
        <v/>
      </c>
      <c r="N65" s="19">
        <f>B65-M65</f>
        <v/>
      </c>
      <c r="O65" s="19">
        <f>J65+K65+L65</f>
        <v/>
      </c>
    </row>
    <row r="66" ht="15.75" customHeight="1">
      <c r="A66" s="27" t="n">
        <v>46183</v>
      </c>
      <c r="B66" s="19" t="n">
        <v>1056.64</v>
      </c>
      <c r="C66" s="19">
        <f>ROUND(1056.64*I66, 2)</f>
        <v/>
      </c>
      <c r="D66" s="19" t="n"/>
      <c r="E66" s="19" t="n"/>
      <c r="F66" s="19" t="n"/>
      <c r="G66" s="19">
        <f>G65-M66+D66</f>
        <v/>
      </c>
      <c r="H66" s="19">
        <f>H65-M66</f>
        <v/>
      </c>
      <c r="I66" s="20" t="n">
        <v>1</v>
      </c>
      <c r="J66" s="19">
        <f>ROUND((G65)*0.009/12 +D66* F66*0.009/12, 2)</f>
        <v/>
      </c>
      <c r="K66" s="19" t="n"/>
      <c r="L66" s="28" t="n">
        <v>27.56</v>
      </c>
      <c r="M66" s="19">
        <f>C66-J66</f>
        <v/>
      </c>
      <c r="N66" s="19">
        <f>B66-M66</f>
        <v/>
      </c>
      <c r="O66" s="19">
        <f>J66+K66+L66</f>
        <v/>
      </c>
    </row>
    <row r="67" ht="15.75" customHeight="1">
      <c r="A67" s="27" t="n">
        <v>46213</v>
      </c>
      <c r="B67" s="19" t="n">
        <v>1056.64</v>
      </c>
      <c r="C67" s="19">
        <f>ROUND(1056.64*I67, 2)</f>
        <v/>
      </c>
      <c r="D67" s="19" t="n"/>
      <c r="E67" s="19" t="n"/>
      <c r="F67" s="19" t="n"/>
      <c r="G67" s="19">
        <f>G66-M67+D67</f>
        <v/>
      </c>
      <c r="H67" s="19">
        <f>H66-M67</f>
        <v/>
      </c>
      <c r="I67" s="20" t="n">
        <v>1</v>
      </c>
      <c r="J67" s="19">
        <f>ROUND((G66)*0.009/12 +D67* F67*0.009/12, 2)</f>
        <v/>
      </c>
      <c r="K67" s="19" t="n"/>
      <c r="L67" s="28" t="n">
        <v>27.56</v>
      </c>
      <c r="M67" s="19">
        <f>C67-J67</f>
        <v/>
      </c>
      <c r="N67" s="19">
        <f>B67-M67</f>
        <v/>
      </c>
      <c r="O67" s="19">
        <f>J67+K67+L67</f>
        <v/>
      </c>
    </row>
    <row r="68" ht="15.75" customHeight="1">
      <c r="A68" s="27" t="n">
        <v>46244</v>
      </c>
      <c r="B68" s="19" t="n">
        <v>1056.64</v>
      </c>
      <c r="C68" s="19">
        <f>ROUND(1056.64*I68, 2)</f>
        <v/>
      </c>
      <c r="D68" s="19" t="n"/>
      <c r="E68" s="19" t="n"/>
      <c r="F68" s="19" t="n"/>
      <c r="G68" s="19">
        <f>G67-M68+D68</f>
        <v/>
      </c>
      <c r="H68" s="19">
        <f>H67-M68</f>
        <v/>
      </c>
      <c r="I68" s="20" t="n">
        <v>1</v>
      </c>
      <c r="J68" s="19">
        <f>ROUND((G67)*0.009/12 +D68* F68*0.009/12, 2)</f>
        <v/>
      </c>
      <c r="K68" s="19" t="n"/>
      <c r="L68" s="28" t="n">
        <v>27.56</v>
      </c>
      <c r="M68" s="19">
        <f>C68-J68</f>
        <v/>
      </c>
      <c r="N68" s="19">
        <f>B68-M68</f>
        <v/>
      </c>
      <c r="O68" s="19">
        <f>J68+K68+L68</f>
        <v/>
      </c>
    </row>
    <row r="69" ht="15.75" customHeight="1">
      <c r="A69" s="27" t="n">
        <v>46275</v>
      </c>
      <c r="B69" s="19" t="n">
        <v>1056.64</v>
      </c>
      <c r="C69" s="19">
        <f>ROUND(1056.64*I69, 2)</f>
        <v/>
      </c>
      <c r="D69" s="19" t="n"/>
      <c r="E69" s="19" t="n"/>
      <c r="F69" s="19" t="n"/>
      <c r="G69" s="19">
        <f>G68-M69+D69</f>
        <v/>
      </c>
      <c r="H69" s="19">
        <f>H68-M69</f>
        <v/>
      </c>
      <c r="I69" s="20" t="n">
        <v>1</v>
      </c>
      <c r="J69" s="19">
        <f>ROUND((G68)*0.009/12 +D69* F69*0.009/12, 2)</f>
        <v/>
      </c>
      <c r="K69" s="19" t="n"/>
      <c r="L69" s="28" t="n">
        <v>27.56</v>
      </c>
      <c r="M69" s="19">
        <f>C69-J69</f>
        <v/>
      </c>
      <c r="N69" s="19">
        <f>B69-M69</f>
        <v/>
      </c>
      <c r="O69" s="19">
        <f>J69+K69+L69</f>
        <v/>
      </c>
    </row>
    <row r="70" ht="15.75" customHeight="1">
      <c r="A70" s="27" t="n">
        <v>46305</v>
      </c>
      <c r="B70" s="19" t="n">
        <v>1056.64</v>
      </c>
      <c r="C70" s="19">
        <f>ROUND(1056.64*I70, 2)</f>
        <v/>
      </c>
      <c r="D70" s="19" t="n"/>
      <c r="E70" s="19" t="n"/>
      <c r="F70" s="19" t="n"/>
      <c r="G70" s="19">
        <f>G69-M70+D70</f>
        <v/>
      </c>
      <c r="H70" s="19">
        <f>H69-M70</f>
        <v/>
      </c>
      <c r="I70" s="20" t="n">
        <v>1</v>
      </c>
      <c r="J70" s="19">
        <f>ROUND((G69)*0.009/12 +D70* F70*0.009/12, 2)</f>
        <v/>
      </c>
      <c r="K70" s="19" t="n"/>
      <c r="L70" s="28" t="n">
        <v>27.56</v>
      </c>
      <c r="M70" s="19">
        <f>C70-J70</f>
        <v/>
      </c>
      <c r="N70" s="19">
        <f>B70-M70</f>
        <v/>
      </c>
      <c r="O70" s="19">
        <f>J70+K70+L70</f>
        <v/>
      </c>
    </row>
    <row r="71" ht="15.75" customHeight="1">
      <c r="A71" s="27" t="n">
        <v>46336</v>
      </c>
      <c r="B71" s="19" t="n">
        <v>1056.64</v>
      </c>
      <c r="C71" s="19">
        <f>ROUND(1056.64*I71, 2)</f>
        <v/>
      </c>
      <c r="D71" s="19" t="n"/>
      <c r="E71" s="19" t="n"/>
      <c r="F71" s="19" t="n"/>
      <c r="G71" s="19">
        <f>G70-M71+D71</f>
        <v/>
      </c>
      <c r="H71" s="19">
        <f>H70-M71</f>
        <v/>
      </c>
      <c r="I71" s="20" t="n">
        <v>1</v>
      </c>
      <c r="J71" s="19">
        <f>ROUND((G70)*0.009/12 +D71* F71*0.009/12, 2)</f>
        <v/>
      </c>
      <c r="K71" s="19" t="n"/>
      <c r="L71" s="28" t="n">
        <v>27.56</v>
      </c>
      <c r="M71" s="19">
        <f>C71-J71</f>
        <v/>
      </c>
      <c r="N71" s="19">
        <f>B71-M71</f>
        <v/>
      </c>
      <c r="O71" s="19">
        <f>J71+K71+L71</f>
        <v/>
      </c>
    </row>
    <row r="72" ht="15.75" customHeight="1">
      <c r="A72" s="27" t="n">
        <v>46366</v>
      </c>
      <c r="B72" s="19" t="n">
        <v>1056.64</v>
      </c>
      <c r="C72" s="19">
        <f>ROUND(1056.64*I72, 2)</f>
        <v/>
      </c>
      <c r="D72" s="19" t="n"/>
      <c r="E72" s="19" t="n"/>
      <c r="F72" s="19" t="n"/>
      <c r="G72" s="19">
        <f>G71-M72+D72</f>
        <v/>
      </c>
      <c r="H72" s="19">
        <f>H71-M72</f>
        <v/>
      </c>
      <c r="I72" s="20" t="n">
        <v>1</v>
      </c>
      <c r="J72" s="19">
        <f>ROUND((G71)*0.009/12 +D72* F72*0.009/12, 2)</f>
        <v/>
      </c>
      <c r="K72" s="19" t="n"/>
      <c r="L72" s="28" t="n">
        <v>27.5600000000001</v>
      </c>
      <c r="M72" s="19">
        <f>C72-J72</f>
        <v/>
      </c>
      <c r="N72" s="19">
        <f>B72-M72</f>
        <v/>
      </c>
      <c r="O72" s="19">
        <f>J72+K72+L72</f>
        <v/>
      </c>
    </row>
    <row r="73" ht="15.75" customHeight="1">
      <c r="A73" s="27" t="n">
        <v>46397</v>
      </c>
      <c r="B73" s="19" t="n">
        <v>1056.64</v>
      </c>
      <c r="C73" s="19">
        <f>ROUND(1056.64*I73, 2)</f>
        <v/>
      </c>
      <c r="D73" s="19" t="n"/>
      <c r="E73" s="19" t="n"/>
      <c r="F73" s="19" t="n"/>
      <c r="G73" s="19">
        <f>G72-M73+D73</f>
        <v/>
      </c>
      <c r="H73" s="19">
        <f>H72-M73</f>
        <v/>
      </c>
      <c r="I73" s="20" t="n">
        <v>1</v>
      </c>
      <c r="J73" s="19">
        <f>ROUND((G72)*0.009/12 +D73* F73*0.009/12, 2)</f>
        <v/>
      </c>
      <c r="K73" s="19" t="n"/>
      <c r="L73" s="28" t="n">
        <v>27.5600000000001</v>
      </c>
      <c r="M73" s="19">
        <f>C73-J73</f>
        <v/>
      </c>
      <c r="N73" s="19">
        <f>B73-M73</f>
        <v/>
      </c>
      <c r="O73" s="19">
        <f>J73+K73+L73</f>
        <v/>
      </c>
    </row>
    <row r="74" ht="15.75" customHeight="1">
      <c r="A74" s="27" t="n">
        <v>46428</v>
      </c>
      <c r="B74" s="19" t="n">
        <v>1056.64</v>
      </c>
      <c r="C74" s="19">
        <f>ROUND(1056.64*I74, 2)</f>
        <v/>
      </c>
      <c r="D74" s="19" t="n"/>
      <c r="E74" s="19" t="n"/>
      <c r="F74" s="19" t="n"/>
      <c r="G74" s="19">
        <f>G73-M74+D74</f>
        <v/>
      </c>
      <c r="H74" s="19">
        <f>H73-M74</f>
        <v/>
      </c>
      <c r="I74" s="20" t="n">
        <v>1</v>
      </c>
      <c r="J74" s="19">
        <f>ROUND((G73)*0.009/12 +D74* F74*0.009/12, 2)</f>
        <v/>
      </c>
      <c r="K74" s="19" t="n"/>
      <c r="L74" s="28" t="n">
        <v>27.5600000000001</v>
      </c>
      <c r="M74" s="19">
        <f>C74-J74</f>
        <v/>
      </c>
      <c r="N74" s="19">
        <f>B74-M74</f>
        <v/>
      </c>
      <c r="O74" s="19">
        <f>J74+K74+L74</f>
        <v/>
      </c>
    </row>
    <row r="75" ht="15.75" customHeight="1">
      <c r="A75" s="27" t="n">
        <v>46456</v>
      </c>
      <c r="B75" s="19" t="n">
        <v>1056.64</v>
      </c>
      <c r="C75" s="19">
        <f>ROUND(1056.64*I75, 2)</f>
        <v/>
      </c>
      <c r="D75" s="19" t="n"/>
      <c r="E75" s="19" t="n"/>
      <c r="F75" s="19" t="n"/>
      <c r="G75" s="19">
        <f>G74-M75+D75</f>
        <v/>
      </c>
      <c r="H75" s="19">
        <f>H74-M75</f>
        <v/>
      </c>
      <c r="I75" s="20" t="n">
        <v>1</v>
      </c>
      <c r="J75" s="19">
        <f>ROUND((G74)*0.009/12 +D75* F75*0.009/12, 2)</f>
        <v/>
      </c>
      <c r="K75" s="19" t="n"/>
      <c r="L75" s="28" t="n">
        <v>27.5600000000001</v>
      </c>
      <c r="M75" s="19">
        <f>C75-J75</f>
        <v/>
      </c>
      <c r="N75" s="19">
        <f>B75-M75</f>
        <v/>
      </c>
      <c r="O75" s="19">
        <f>J75+K75+L75</f>
        <v/>
      </c>
    </row>
    <row r="76" ht="15.75" customHeight="1">
      <c r="A76" s="27" t="n">
        <v>46487</v>
      </c>
      <c r="B76" s="19" t="n">
        <v>1056.64</v>
      </c>
      <c r="C76" s="19">
        <f>ROUND(1056.64*I76, 2)</f>
        <v/>
      </c>
      <c r="D76" s="19" t="n"/>
      <c r="E76" s="19" t="n"/>
      <c r="F76" s="19" t="n"/>
      <c r="G76" s="19">
        <f>G75-M76+D76</f>
        <v/>
      </c>
      <c r="H76" s="19">
        <f>H75-M76</f>
        <v/>
      </c>
      <c r="I76" s="20" t="n">
        <v>1</v>
      </c>
      <c r="J76" s="19">
        <f>ROUND((G75)*0.009/12 +D76* F76*0.009/12, 2)</f>
        <v/>
      </c>
      <c r="K76" s="19" t="n"/>
      <c r="L76" s="28" t="n">
        <v>27.5600000000001</v>
      </c>
      <c r="M76" s="19">
        <f>C76-J76</f>
        <v/>
      </c>
      <c r="N76" s="19">
        <f>B76-M76</f>
        <v/>
      </c>
      <c r="O76" s="19">
        <f>J76+K76+L76</f>
        <v/>
      </c>
    </row>
    <row r="77" ht="15.75" customHeight="1">
      <c r="A77" s="27" t="n">
        <v>46517</v>
      </c>
      <c r="B77" s="19" t="n">
        <v>1056.64</v>
      </c>
      <c r="C77" s="19">
        <f>ROUND(1056.64*I77, 2)</f>
        <v/>
      </c>
      <c r="D77" s="19" t="n"/>
      <c r="E77" s="19" t="n"/>
      <c r="F77" s="19" t="n"/>
      <c r="G77" s="19">
        <f>G76-M77+D77</f>
        <v/>
      </c>
      <c r="H77" s="19">
        <f>H76-M77</f>
        <v/>
      </c>
      <c r="I77" s="20" t="n">
        <v>1</v>
      </c>
      <c r="J77" s="19">
        <f>ROUND((G76)*0.009/12 +D77* F77*0.009/12, 2)</f>
        <v/>
      </c>
      <c r="K77" s="19" t="n"/>
      <c r="L77" s="28" t="n">
        <v>27.5600000000001</v>
      </c>
      <c r="M77" s="19">
        <f>C77-J77</f>
        <v/>
      </c>
      <c r="N77" s="19">
        <f>B77-M77</f>
        <v/>
      </c>
      <c r="O77" s="19">
        <f>J77+K77+L77</f>
        <v/>
      </c>
    </row>
    <row r="78" ht="15.75" customHeight="1">
      <c r="A78" s="27" t="n">
        <v>46548</v>
      </c>
      <c r="B78" s="19" t="n">
        <v>1056.64</v>
      </c>
      <c r="C78" s="19">
        <f>ROUND(1056.64*I78, 2)</f>
        <v/>
      </c>
      <c r="D78" s="19" t="n"/>
      <c r="E78" s="19" t="n"/>
      <c r="F78" s="19" t="n"/>
      <c r="G78" s="19">
        <f>G77-M78+D78</f>
        <v/>
      </c>
      <c r="H78" s="19">
        <f>H77-M78</f>
        <v/>
      </c>
      <c r="I78" s="20" t="n">
        <v>1</v>
      </c>
      <c r="J78" s="19">
        <f>ROUND((G77)*0.009/12 +D78* F78*0.009/12, 2)</f>
        <v/>
      </c>
      <c r="K78" s="19" t="n"/>
      <c r="L78" s="28" t="n">
        <v>27.5600000000001</v>
      </c>
      <c r="M78" s="19">
        <f>C78-J78</f>
        <v/>
      </c>
      <c r="N78" s="19">
        <f>B78-M78</f>
        <v/>
      </c>
      <c r="O78" s="19">
        <f>J78+K78+L78</f>
        <v/>
      </c>
    </row>
    <row r="79" ht="15.75" customHeight="1">
      <c r="A79" s="27" t="n">
        <v>46578</v>
      </c>
      <c r="B79" s="19" t="n">
        <v>1056.64</v>
      </c>
      <c r="C79" s="19">
        <f>ROUND(1056.64*I79, 2)</f>
        <v/>
      </c>
      <c r="D79" s="19" t="n"/>
      <c r="E79" s="19" t="n"/>
      <c r="F79" s="19" t="n"/>
      <c r="G79" s="19">
        <f>G78-M79+D79</f>
        <v/>
      </c>
      <c r="H79" s="19">
        <f>H78-M79</f>
        <v/>
      </c>
      <c r="I79" s="20" t="n">
        <v>1</v>
      </c>
      <c r="J79" s="19">
        <f>ROUND((G78)*0.009/12 +D79* F79*0.009/12, 2)</f>
        <v/>
      </c>
      <c r="K79" s="19" t="n"/>
      <c r="L79" s="28" t="n">
        <v>27.5600000000001</v>
      </c>
      <c r="M79" s="19">
        <f>C79-J79</f>
        <v/>
      </c>
      <c r="N79" s="19">
        <f>B79-M79</f>
        <v/>
      </c>
      <c r="O79" s="19">
        <f>J79+K79+L79</f>
        <v/>
      </c>
    </row>
    <row r="80" ht="15.75" customHeight="1">
      <c r="A80" s="27" t="n">
        <v>46609</v>
      </c>
      <c r="B80" s="19" t="n">
        <v>1056.64</v>
      </c>
      <c r="C80" s="19">
        <f>ROUND(1056.64*I80, 2)</f>
        <v/>
      </c>
      <c r="D80" s="19" t="n"/>
      <c r="E80" s="19" t="n"/>
      <c r="F80" s="19" t="n"/>
      <c r="G80" s="19">
        <f>G79-M80+D80</f>
        <v/>
      </c>
      <c r="H80" s="19">
        <f>H79-M80</f>
        <v/>
      </c>
      <c r="I80" s="20" t="n">
        <v>1</v>
      </c>
      <c r="J80" s="19">
        <f>ROUND((G79)*0.009/12 +D80* F80*0.009/12, 2)</f>
        <v/>
      </c>
      <c r="K80" s="19" t="n"/>
      <c r="L80" s="28" t="n">
        <v>27.5600000000001</v>
      </c>
      <c r="M80" s="19">
        <f>C80-J80</f>
        <v/>
      </c>
      <c r="N80" s="19">
        <f>B80-M80</f>
        <v/>
      </c>
      <c r="O80" s="19">
        <f>J80+K80+L80</f>
        <v/>
      </c>
    </row>
    <row r="81" ht="15.75" customHeight="1">
      <c r="A81" s="27" t="n">
        <v>46640</v>
      </c>
      <c r="B81" s="19" t="n">
        <v>1056.64</v>
      </c>
      <c r="C81" s="19">
        <f>ROUND(1056.64*I81, 2)</f>
        <v/>
      </c>
      <c r="D81" s="19" t="n"/>
      <c r="E81" s="19" t="n"/>
      <c r="F81" s="19" t="n"/>
      <c r="G81" s="19">
        <f>G80-M81+D81</f>
        <v/>
      </c>
      <c r="H81" s="19">
        <f>H80-M81</f>
        <v/>
      </c>
      <c r="I81" s="20" t="n">
        <v>1</v>
      </c>
      <c r="J81" s="19">
        <f>ROUND((G80)*0.009/12 +D81* F81*0.009/12, 2)</f>
        <v/>
      </c>
      <c r="K81" s="19" t="n"/>
      <c r="L81" s="28" t="n">
        <v>27.5600000000001</v>
      </c>
      <c r="M81" s="19">
        <f>C81-J81</f>
        <v/>
      </c>
      <c r="N81" s="19">
        <f>B81-M81</f>
        <v/>
      </c>
      <c r="O81" s="19">
        <f>J81+K81+L81</f>
        <v/>
      </c>
    </row>
    <row r="82" ht="15.75" customHeight="1">
      <c r="A82" s="27" t="n">
        <v>46670</v>
      </c>
      <c r="B82" s="19" t="n">
        <v>1056.64</v>
      </c>
      <c r="C82" s="19">
        <f>ROUND(1056.64*I82, 2)</f>
        <v/>
      </c>
      <c r="D82" s="19" t="n"/>
      <c r="E82" s="19" t="n"/>
      <c r="F82" s="19" t="n"/>
      <c r="G82" s="19">
        <f>G81-M82+D82</f>
        <v/>
      </c>
      <c r="H82" s="19">
        <f>H81-M82</f>
        <v/>
      </c>
      <c r="I82" s="20" t="n">
        <v>1</v>
      </c>
      <c r="J82" s="19">
        <f>ROUND((G81)*0.009/12 +D82* F82*0.009/12, 2)</f>
        <v/>
      </c>
      <c r="K82" s="19" t="n"/>
      <c r="L82" s="28" t="n">
        <v>27.5600000000001</v>
      </c>
      <c r="M82" s="19">
        <f>C82-J82</f>
        <v/>
      </c>
      <c r="N82" s="19">
        <f>B82-M82</f>
        <v/>
      </c>
      <c r="O82" s="19">
        <f>J82+K82+L82</f>
        <v/>
      </c>
    </row>
    <row r="83" ht="15.75" customHeight="1">
      <c r="A83" s="27" t="n">
        <v>46701</v>
      </c>
      <c r="B83" s="19" t="n">
        <v>1056.64</v>
      </c>
      <c r="C83" s="19">
        <f>ROUND(1056.64*I83, 2)</f>
        <v/>
      </c>
      <c r="D83" s="19" t="n"/>
      <c r="E83" s="19" t="n"/>
      <c r="F83" s="19" t="n"/>
      <c r="G83" s="19">
        <f>G82-M83+D83</f>
        <v/>
      </c>
      <c r="H83" s="19">
        <f>H82-M83</f>
        <v/>
      </c>
      <c r="I83" s="20" t="n">
        <v>1</v>
      </c>
      <c r="J83" s="19">
        <f>ROUND((G82)*0.009/12 +D83* F83*0.009/12, 2)</f>
        <v/>
      </c>
      <c r="K83" s="19" t="n"/>
      <c r="L83" s="28" t="n">
        <v>27.5600000000001</v>
      </c>
      <c r="M83" s="19">
        <f>C83-J83</f>
        <v/>
      </c>
      <c r="N83" s="19">
        <f>B83-M83</f>
        <v/>
      </c>
      <c r="O83" s="19">
        <f>J83+K83+L83</f>
        <v/>
      </c>
    </row>
    <row r="84" ht="15.75" customHeight="1">
      <c r="A84" s="27" t="n">
        <v>46731</v>
      </c>
      <c r="B84" s="19" t="n">
        <v>1056.64</v>
      </c>
      <c r="C84" s="19">
        <f>ROUND(1056.64*I84, 2)</f>
        <v/>
      </c>
      <c r="D84" s="19" t="n"/>
      <c r="E84" s="19" t="n"/>
      <c r="F84" s="19" t="n"/>
      <c r="G84" s="19">
        <f>G83-M84+D84</f>
        <v/>
      </c>
      <c r="H84" s="19">
        <f>H83-M84</f>
        <v/>
      </c>
      <c r="I84" s="20" t="n">
        <v>1</v>
      </c>
      <c r="J84" s="19">
        <f>ROUND((G83)*0.009/12 +D84* F84*0.009/12, 2)</f>
        <v/>
      </c>
      <c r="K84" s="19" t="n"/>
      <c r="L84" s="28" t="n">
        <v>27.5600000000001</v>
      </c>
      <c r="M84" s="19">
        <f>C84-J84</f>
        <v/>
      </c>
      <c r="N84" s="19">
        <f>B84-M84</f>
        <v/>
      </c>
      <c r="O84" s="19">
        <f>J84+K84+L84</f>
        <v/>
      </c>
    </row>
    <row r="85" ht="15.75" customHeight="1">
      <c r="A85" s="27" t="n">
        <v>46762</v>
      </c>
      <c r="B85" s="19" t="n">
        <v>1056.64</v>
      </c>
      <c r="C85" s="19">
        <f>ROUND(1056.64*I85, 2)</f>
        <v/>
      </c>
      <c r="D85" s="19" t="n"/>
      <c r="E85" s="19" t="n"/>
      <c r="F85" s="19" t="n"/>
      <c r="G85" s="19">
        <f>G84-M85+D85</f>
        <v/>
      </c>
      <c r="H85" s="19">
        <f>H84-M85</f>
        <v/>
      </c>
      <c r="I85" s="20" t="n">
        <v>1</v>
      </c>
      <c r="J85" s="19">
        <f>ROUND((G84)*0.009/12 +D85* F85*0.009/12, 2)</f>
        <v/>
      </c>
      <c r="K85" s="19" t="n"/>
      <c r="L85" s="28" t="n">
        <v>27.5600000000001</v>
      </c>
      <c r="M85" s="19">
        <f>C85-J85</f>
        <v/>
      </c>
      <c r="N85" s="19">
        <f>B85-M85</f>
        <v/>
      </c>
      <c r="O85" s="19">
        <f>J85+K85+L85</f>
        <v/>
      </c>
    </row>
    <row r="86" ht="15.75" customHeight="1">
      <c r="A86" s="27" t="n">
        <v>46793</v>
      </c>
      <c r="B86" s="19" t="n">
        <v>1056.64000000001</v>
      </c>
      <c r="C86" s="19">
        <f>ROUND(1056.64*I86, 2)</f>
        <v/>
      </c>
      <c r="D86" s="19" t="n"/>
      <c r="E86" s="19" t="n"/>
      <c r="F86" s="19" t="n"/>
      <c r="G86" s="19">
        <f>G85-M86+D86</f>
        <v/>
      </c>
      <c r="H86" s="19">
        <f>H85-M86</f>
        <v/>
      </c>
      <c r="I86" s="20" t="n">
        <v>1</v>
      </c>
      <c r="J86" s="19">
        <f>ROUND((G85)*0.009/12 +D86* F86*0.009/12, 2)</f>
        <v/>
      </c>
      <c r="K86" s="19" t="n"/>
      <c r="L86" s="28" t="n">
        <v>27.5600000000001</v>
      </c>
      <c r="M86" s="19">
        <f>C86-J86</f>
        <v/>
      </c>
      <c r="N86" s="19">
        <f>B86-M86</f>
        <v/>
      </c>
      <c r="O86" s="19">
        <f>J86+K86+L86</f>
        <v/>
      </c>
    </row>
    <row r="87" ht="15.75" customHeight="1">
      <c r="A87" s="27" t="n">
        <v>46822</v>
      </c>
      <c r="B87" s="19" t="n">
        <v>1056.64000000001</v>
      </c>
      <c r="C87" s="19">
        <f>ROUND(1056.64*I87, 2)</f>
        <v/>
      </c>
      <c r="D87" s="19" t="n"/>
      <c r="E87" s="19" t="n"/>
      <c r="F87" s="19" t="n"/>
      <c r="G87" s="19">
        <f>G86-M87+D87</f>
        <v/>
      </c>
      <c r="H87" s="19">
        <f>H86-M87</f>
        <v/>
      </c>
      <c r="I87" s="20" t="n">
        <v>1</v>
      </c>
      <c r="J87" s="19">
        <f>ROUND((G86)*0.009/12 +D87* F87*0.009/12, 2)</f>
        <v/>
      </c>
      <c r="K87" s="19" t="n"/>
      <c r="L87" s="28" t="n">
        <v>27.5600000000001</v>
      </c>
      <c r="M87" s="19">
        <f>C87-J87</f>
        <v/>
      </c>
      <c r="N87" s="19">
        <f>B87-M87</f>
        <v/>
      </c>
      <c r="O87" s="19">
        <f>J87+K87+L87</f>
        <v/>
      </c>
    </row>
    <row r="88" ht="15.75" customHeight="1">
      <c r="A88" s="27" t="n">
        <v>46853</v>
      </c>
      <c r="B88" s="19" t="n">
        <v>1056.64000000001</v>
      </c>
      <c r="C88" s="19">
        <f>ROUND(1056.64*I88, 2)</f>
        <v/>
      </c>
      <c r="D88" s="19" t="n"/>
      <c r="E88" s="19" t="n"/>
      <c r="F88" s="19" t="n"/>
      <c r="G88" s="19">
        <f>G87-M88+D88</f>
        <v/>
      </c>
      <c r="H88" s="19">
        <f>H87-M88</f>
        <v/>
      </c>
      <c r="I88" s="20" t="n">
        <v>1</v>
      </c>
      <c r="J88" s="19">
        <f>ROUND((G87)*0.009/12 +D88* F88*0.009/12, 2)</f>
        <v/>
      </c>
      <c r="K88" s="19" t="n"/>
      <c r="L88" s="28" t="n">
        <v>27.5600000000001</v>
      </c>
      <c r="M88" s="19">
        <f>C88-J88</f>
        <v/>
      </c>
      <c r="N88" s="19">
        <f>B88-M88</f>
        <v/>
      </c>
      <c r="O88" s="19">
        <f>J88+K88+L88</f>
        <v/>
      </c>
    </row>
    <row r="89" ht="15.75" customHeight="1">
      <c r="A89" s="27" t="n">
        <v>46883</v>
      </c>
      <c r="B89" s="19" t="n">
        <v>1056.64000000001</v>
      </c>
      <c r="C89" s="19">
        <f>ROUND(1056.64*I89, 2)</f>
        <v/>
      </c>
      <c r="D89" s="19" t="n"/>
      <c r="E89" s="19" t="n"/>
      <c r="F89" s="19" t="n"/>
      <c r="G89" s="19">
        <f>G88-M89+D89</f>
        <v/>
      </c>
      <c r="H89" s="19">
        <f>H88-M89</f>
        <v/>
      </c>
      <c r="I89" s="20" t="n">
        <v>1</v>
      </c>
      <c r="J89" s="19">
        <f>ROUND((G88)*0.009/12 +D89* F89*0.009/12, 2)</f>
        <v/>
      </c>
      <c r="K89" s="19" t="n"/>
      <c r="L89" s="28" t="n">
        <v>27.5600000000001</v>
      </c>
      <c r="M89" s="19">
        <f>C89-J89</f>
        <v/>
      </c>
      <c r="N89" s="19">
        <f>B89-M89</f>
        <v/>
      </c>
      <c r="O89" s="19">
        <f>J89+K89+L89</f>
        <v/>
      </c>
    </row>
    <row r="90" ht="15.75" customHeight="1">
      <c r="A90" s="27" t="n">
        <v>46914</v>
      </c>
      <c r="B90" s="19" t="n">
        <v>1056.64000000001</v>
      </c>
      <c r="C90" s="19">
        <f>ROUND(1056.64*I90, 2)</f>
        <v/>
      </c>
      <c r="D90" s="19" t="n"/>
      <c r="E90" s="19" t="n"/>
      <c r="F90" s="19" t="n"/>
      <c r="G90" s="19">
        <f>G89-M90+D90</f>
        <v/>
      </c>
      <c r="H90" s="19">
        <f>H89-M90</f>
        <v/>
      </c>
      <c r="I90" s="20" t="n">
        <v>1</v>
      </c>
      <c r="J90" s="19">
        <f>ROUND((G89)*0.009/12 +D90* F90*0.009/12, 2)</f>
        <v/>
      </c>
      <c r="K90" s="19" t="n"/>
      <c r="L90" s="28" t="n">
        <v>27.5600000000001</v>
      </c>
      <c r="M90" s="19">
        <f>C90-J90</f>
        <v/>
      </c>
      <c r="N90" s="19">
        <f>B90-M90</f>
        <v/>
      </c>
      <c r="O90" s="19">
        <f>J90+K90+L90</f>
        <v/>
      </c>
    </row>
    <row r="91" ht="15.75" customHeight="1">
      <c r="A91" s="27" t="n">
        <v>46944</v>
      </c>
      <c r="B91" s="19" t="n">
        <v>1056.64000000001</v>
      </c>
      <c r="C91" s="19">
        <f>ROUND(1056.64*I91, 2)</f>
        <v/>
      </c>
      <c r="D91" s="19" t="n"/>
      <c r="E91" s="19" t="n"/>
      <c r="F91" s="19" t="n"/>
      <c r="G91" s="19">
        <f>G90-M91+D91</f>
        <v/>
      </c>
      <c r="H91" s="19">
        <f>H90-M91</f>
        <v/>
      </c>
      <c r="I91" s="20" t="n">
        <v>1</v>
      </c>
      <c r="J91" s="19">
        <f>ROUND((G90)*0.009/12 +D91* F91*0.009/12, 2)</f>
        <v/>
      </c>
      <c r="K91" s="19" t="n"/>
      <c r="L91" s="28" t="n">
        <v>27.5600000000001</v>
      </c>
      <c r="M91" s="19">
        <f>C91-J91</f>
        <v/>
      </c>
      <c r="N91" s="19">
        <f>B91-M91</f>
        <v/>
      </c>
      <c r="O91" s="19">
        <f>J91+K91+L91</f>
        <v/>
      </c>
    </row>
    <row r="92" ht="15.75" customHeight="1">
      <c r="A92" s="27" t="n">
        <v>46975</v>
      </c>
      <c r="B92" s="19" t="n">
        <v>1056.64000000001</v>
      </c>
      <c r="C92" s="19">
        <f>ROUND(1056.64*I92, 2)</f>
        <v/>
      </c>
      <c r="D92" s="19" t="n"/>
      <c r="E92" s="19" t="n"/>
      <c r="F92" s="19" t="n"/>
      <c r="G92" s="19">
        <f>G91-M92+D92</f>
        <v/>
      </c>
      <c r="H92" s="19">
        <f>H91-M92</f>
        <v/>
      </c>
      <c r="I92" s="20" t="n">
        <v>1</v>
      </c>
      <c r="J92" s="19">
        <f>ROUND((G91)*0.009/12 +D92* F92*0.009/12, 2)</f>
        <v/>
      </c>
      <c r="K92" s="19" t="n"/>
      <c r="L92" s="28" t="n">
        <v>27.5600000000001</v>
      </c>
      <c r="M92" s="19">
        <f>C92-J92</f>
        <v/>
      </c>
      <c r="N92" s="19">
        <f>B92-M92</f>
        <v/>
      </c>
      <c r="O92" s="19">
        <f>J92+K92+L92</f>
        <v/>
      </c>
    </row>
    <row r="93" ht="15.75" customHeight="1">
      <c r="A93" s="27" t="n">
        <v>47006</v>
      </c>
      <c r="B93" s="19" t="n">
        <v>1056.64000000001</v>
      </c>
      <c r="C93" s="19">
        <f>ROUND(1056.64*I93, 2)</f>
        <v/>
      </c>
      <c r="D93" s="19" t="n"/>
      <c r="E93" s="19" t="n"/>
      <c r="F93" s="19" t="n"/>
      <c r="G93" s="19">
        <f>G92-M93+D93</f>
        <v/>
      </c>
      <c r="H93" s="19">
        <f>H92-M93</f>
        <v/>
      </c>
      <c r="I93" s="20" t="n">
        <v>1</v>
      </c>
      <c r="J93" s="19">
        <f>ROUND((G92)*0.009/12 +D93* F93*0.009/12, 2)</f>
        <v/>
      </c>
      <c r="K93" s="19" t="n"/>
      <c r="L93" s="28" t="n">
        <v>27.5600000000001</v>
      </c>
      <c r="M93" s="19">
        <f>C93-J93</f>
        <v/>
      </c>
      <c r="N93" s="19">
        <f>B93-M93</f>
        <v/>
      </c>
      <c r="O93" s="19">
        <f>J93+K93+L93</f>
        <v/>
      </c>
    </row>
    <row r="94" ht="15.75" customHeight="1">
      <c r="A94" s="27" t="n">
        <v>47036</v>
      </c>
      <c r="B94" s="19" t="n">
        <v>1056.64000000001</v>
      </c>
      <c r="C94" s="19">
        <f>ROUND(1056.64*I94, 2)</f>
        <v/>
      </c>
      <c r="D94" s="19" t="n"/>
      <c r="E94" s="19" t="n"/>
      <c r="F94" s="19" t="n"/>
      <c r="G94" s="19">
        <f>G93-M94+D94</f>
        <v/>
      </c>
      <c r="H94" s="19">
        <f>H93-M94</f>
        <v/>
      </c>
      <c r="I94" s="20" t="n">
        <v>1</v>
      </c>
      <c r="J94" s="19">
        <f>ROUND((G93)*0.009/12 +D94* F94*0.009/12, 2)</f>
        <v/>
      </c>
      <c r="K94" s="19" t="n"/>
      <c r="L94" s="28" t="n">
        <v>27.5600000000001</v>
      </c>
      <c r="M94" s="19">
        <f>C94-J94</f>
        <v/>
      </c>
      <c r="N94" s="19">
        <f>B94-M94</f>
        <v/>
      </c>
      <c r="O94" s="19">
        <f>J94+K94+L94</f>
        <v/>
      </c>
    </row>
    <row r="95" ht="15.75" customHeight="1">
      <c r="A95" s="27" t="n">
        <v>47067</v>
      </c>
      <c r="B95" s="19" t="n">
        <v>1056.64000000001</v>
      </c>
      <c r="C95" s="19">
        <f>ROUND(1056.64*I95, 2)</f>
        <v/>
      </c>
      <c r="D95" s="19" t="n"/>
      <c r="E95" s="19" t="n"/>
      <c r="F95" s="19" t="n"/>
      <c r="G95" s="19">
        <f>G94-M95+D95</f>
        <v/>
      </c>
      <c r="H95" s="19">
        <f>H94-M95</f>
        <v/>
      </c>
      <c r="I95" s="20" t="n">
        <v>1</v>
      </c>
      <c r="J95" s="19">
        <f>ROUND((G94)*0.009/12 +D95* F95*0.009/12, 2)</f>
        <v/>
      </c>
      <c r="K95" s="19" t="n"/>
      <c r="L95" s="28" t="n">
        <v>27.5600000000001</v>
      </c>
      <c r="M95" s="19">
        <f>C95-J95</f>
        <v/>
      </c>
      <c r="N95" s="19">
        <f>B95-M95</f>
        <v/>
      </c>
      <c r="O95" s="19">
        <f>J95+K95+L95</f>
        <v/>
      </c>
    </row>
    <row r="96" ht="15.75" customHeight="1">
      <c r="A96" s="27" t="n">
        <v>47097</v>
      </c>
      <c r="B96" s="19" t="n">
        <v>1056.64000000001</v>
      </c>
      <c r="C96" s="19">
        <f>ROUND(1056.64*I96, 2)</f>
        <v/>
      </c>
      <c r="D96" s="19" t="n"/>
      <c r="E96" s="19" t="n"/>
      <c r="F96" s="19" t="n"/>
      <c r="G96" s="19">
        <f>G95-M96+D96</f>
        <v/>
      </c>
      <c r="H96" s="19">
        <f>H95-M96</f>
        <v/>
      </c>
      <c r="I96" s="20" t="n">
        <v>1</v>
      </c>
      <c r="J96" s="19">
        <f>ROUND((G95)*0.009/12 +D96* F96*0.009/12, 2)</f>
        <v/>
      </c>
      <c r="K96" s="19" t="n"/>
      <c r="L96" s="28" t="n">
        <v>27.5600000000001</v>
      </c>
      <c r="M96" s="19">
        <f>C96-J96</f>
        <v/>
      </c>
      <c r="N96" s="19">
        <f>B96-M96</f>
        <v/>
      </c>
      <c r="O96" s="19">
        <f>J96+K96+L96</f>
        <v/>
      </c>
    </row>
    <row r="97" ht="15.75" customHeight="1">
      <c r="A97" s="27" t="n">
        <v>47128</v>
      </c>
      <c r="B97" s="19" t="n">
        <v>1056.64000000001</v>
      </c>
      <c r="C97" s="19">
        <f>ROUND(1056.64*I97, 2)</f>
        <v/>
      </c>
      <c r="D97" s="19" t="n"/>
      <c r="E97" s="19" t="n"/>
      <c r="F97" s="19" t="n"/>
      <c r="G97" s="19">
        <f>G96-M97+D97</f>
        <v/>
      </c>
      <c r="H97" s="19">
        <f>H96-M97</f>
        <v/>
      </c>
      <c r="I97" s="20" t="n">
        <v>1</v>
      </c>
      <c r="J97" s="19">
        <f>ROUND((G96)*0.009/12 +D97* F97*0.009/12, 2)</f>
        <v/>
      </c>
      <c r="K97" s="19" t="n"/>
      <c r="L97" s="28" t="n">
        <v>27.5600000000001</v>
      </c>
      <c r="M97" s="19">
        <f>C97-J97</f>
        <v/>
      </c>
      <c r="N97" s="19">
        <f>B97-M97</f>
        <v/>
      </c>
      <c r="O97" s="19">
        <f>J97+K97+L97</f>
        <v/>
      </c>
    </row>
    <row r="98" ht="15.75" customHeight="1">
      <c r="A98" s="27" t="n">
        <v>47159</v>
      </c>
      <c r="B98" s="19" t="n">
        <v>1056.64000000001</v>
      </c>
      <c r="C98" s="19">
        <f>ROUND(1056.64*I98, 2)</f>
        <v/>
      </c>
      <c r="D98" s="19" t="n"/>
      <c r="E98" s="19" t="n"/>
      <c r="F98" s="19" t="n"/>
      <c r="G98" s="19">
        <f>G97-M98+D98</f>
        <v/>
      </c>
      <c r="H98" s="19">
        <f>H97-M98</f>
        <v/>
      </c>
      <c r="I98" s="20" t="n">
        <v>1</v>
      </c>
      <c r="J98" s="19">
        <f>ROUND((G97)*0.009/12 +D98* F98*0.009/12, 2)</f>
        <v/>
      </c>
      <c r="K98" s="19" t="n"/>
      <c r="L98" s="28" t="n">
        <v>27.5600000000001</v>
      </c>
      <c r="M98" s="19">
        <f>C98-J98</f>
        <v/>
      </c>
      <c r="N98" s="19">
        <f>B98-M98</f>
        <v/>
      </c>
      <c r="O98" s="19">
        <f>J98+K98+L98</f>
        <v/>
      </c>
    </row>
    <row r="99" ht="15.75" customHeight="1">
      <c r="A99" s="27" t="n">
        <v>47187</v>
      </c>
      <c r="B99" s="19" t="n">
        <v>1056.64000000001</v>
      </c>
      <c r="C99" s="19">
        <f>ROUND(1056.64*I99, 2)</f>
        <v/>
      </c>
      <c r="D99" s="19" t="n"/>
      <c r="E99" s="19" t="n"/>
      <c r="F99" s="19" t="n"/>
      <c r="G99" s="19">
        <f>G98-M99+D99</f>
        <v/>
      </c>
      <c r="H99" s="19">
        <f>H98-M99</f>
        <v/>
      </c>
      <c r="I99" s="20" t="n">
        <v>1</v>
      </c>
      <c r="J99" s="19">
        <f>ROUND((G98)*0.009/12 +D99* F99*0.009/12, 2)</f>
        <v/>
      </c>
      <c r="K99" s="19" t="n"/>
      <c r="L99" s="28" t="n">
        <v>27.5600000000001</v>
      </c>
      <c r="M99" s="19">
        <f>C99-J99</f>
        <v/>
      </c>
      <c r="N99" s="19">
        <f>B99-M99</f>
        <v/>
      </c>
      <c r="O99" s="19">
        <f>J99+K99+L99</f>
        <v/>
      </c>
    </row>
    <row r="100" ht="15.75" customHeight="1">
      <c r="A100" s="27" t="n">
        <v>47218</v>
      </c>
      <c r="B100" s="19" t="n">
        <v>1056.64000000001</v>
      </c>
      <c r="C100" s="19">
        <f>ROUND(1056.64*I100, 2)</f>
        <v/>
      </c>
      <c r="D100" s="19" t="n"/>
      <c r="E100" s="19" t="n"/>
      <c r="F100" s="19" t="n"/>
      <c r="G100" s="19">
        <f>G99-M100+D100</f>
        <v/>
      </c>
      <c r="H100" s="19">
        <f>H99-M100</f>
        <v/>
      </c>
      <c r="I100" s="20" t="n">
        <v>1</v>
      </c>
      <c r="J100" s="19">
        <f>ROUND((G99)*0.009/12 +D100* F100*0.009/12, 2)</f>
        <v/>
      </c>
      <c r="K100" s="19" t="n"/>
      <c r="L100" s="28" t="n">
        <v>27.5600000000001</v>
      </c>
      <c r="M100" s="19">
        <f>C100-J100</f>
        <v/>
      </c>
      <c r="N100" s="19">
        <f>B100-M100</f>
        <v/>
      </c>
      <c r="O100" s="19">
        <f>J100+K100+L100</f>
        <v/>
      </c>
    </row>
    <row r="101" ht="15.75" customHeight="1">
      <c r="A101" s="27" t="n">
        <v>47248</v>
      </c>
      <c r="B101" s="19" t="n">
        <v>1056.64000000001</v>
      </c>
      <c r="C101" s="19">
        <f>ROUND(1056.64*I101, 2)</f>
        <v/>
      </c>
      <c r="D101" s="19" t="n"/>
      <c r="E101" s="19" t="n"/>
      <c r="F101" s="19" t="n"/>
      <c r="G101" s="19">
        <f>G100-M101+D101</f>
        <v/>
      </c>
      <c r="H101" s="19">
        <f>H100-M101</f>
        <v/>
      </c>
      <c r="I101" s="20" t="n">
        <v>1</v>
      </c>
      <c r="J101" s="19">
        <f>ROUND((G100)*0.009/12 +D101* F101*0.009/12, 2)</f>
        <v/>
      </c>
      <c r="K101" s="19" t="n"/>
      <c r="L101" s="28" t="n">
        <v>27.5600000000001</v>
      </c>
      <c r="M101" s="19">
        <f>C101-J101</f>
        <v/>
      </c>
      <c r="N101" s="19">
        <f>B101-M101</f>
        <v/>
      </c>
      <c r="O101" s="19">
        <f>J101+K101+L101</f>
        <v/>
      </c>
    </row>
    <row r="102" ht="15.75" customHeight="1">
      <c r="A102" s="27" t="n">
        <v>47279</v>
      </c>
      <c r="B102" s="19" t="n">
        <v>1056.64000000001</v>
      </c>
      <c r="C102" s="19">
        <f>ROUND(1056.64*I102, 2)</f>
        <v/>
      </c>
      <c r="D102" s="19" t="n"/>
      <c r="E102" s="19" t="n"/>
      <c r="F102" s="19" t="n"/>
      <c r="G102" s="19">
        <f>G101-M102+D102</f>
        <v/>
      </c>
      <c r="H102" s="19">
        <f>H101-M102</f>
        <v/>
      </c>
      <c r="I102" s="20" t="n">
        <v>1</v>
      </c>
      <c r="J102" s="19">
        <f>ROUND((G101)*0.009/12 +D102* F102*0.009/12, 2)</f>
        <v/>
      </c>
      <c r="K102" s="19" t="n"/>
      <c r="L102" s="28" t="n">
        <v>27.5600000000001</v>
      </c>
      <c r="M102" s="19">
        <f>C102-J102</f>
        <v/>
      </c>
      <c r="N102" s="19">
        <f>B102-M102</f>
        <v/>
      </c>
      <c r="O102" s="19">
        <f>J102+K102+L102</f>
        <v/>
      </c>
    </row>
    <row r="103" ht="15.75" customHeight="1">
      <c r="A103" s="27" t="n">
        <v>47309</v>
      </c>
      <c r="B103" s="19" t="n">
        <v>1056.64000000001</v>
      </c>
      <c r="C103" s="19">
        <f>ROUND(1056.64*I103, 2)</f>
        <v/>
      </c>
      <c r="D103" s="19" t="n"/>
      <c r="E103" s="19" t="n"/>
      <c r="F103" s="19" t="n"/>
      <c r="G103" s="19">
        <f>G102-M103+D103</f>
        <v/>
      </c>
      <c r="H103" s="19">
        <f>H102-M103</f>
        <v/>
      </c>
      <c r="I103" s="20" t="n">
        <v>1</v>
      </c>
      <c r="J103" s="19">
        <f>ROUND((G102)*0.009/12 +D103* F103*0.009/12, 2)</f>
        <v/>
      </c>
      <c r="K103" s="19" t="n"/>
      <c r="L103" s="28" t="n">
        <v>27.5600000000001</v>
      </c>
      <c r="M103" s="19">
        <f>C103-J103</f>
        <v/>
      </c>
      <c r="N103" s="19">
        <f>B103-M103</f>
        <v/>
      </c>
      <c r="O103" s="19">
        <f>J103+K103+L103</f>
        <v/>
      </c>
    </row>
    <row r="104" ht="15.75" customHeight="1">
      <c r="A104" s="27" t="n">
        <v>47340</v>
      </c>
      <c r="B104" s="19" t="n">
        <v>1056.64000000001</v>
      </c>
      <c r="C104" s="19">
        <f>ROUND(1056.64*I104, 2)</f>
        <v/>
      </c>
      <c r="D104" s="19" t="n"/>
      <c r="E104" s="19" t="n"/>
      <c r="F104" s="19" t="n"/>
      <c r="G104" s="19">
        <f>G103-M104+D104</f>
        <v/>
      </c>
      <c r="H104" s="19">
        <f>H103-M104</f>
        <v/>
      </c>
      <c r="I104" s="20" t="n">
        <v>1</v>
      </c>
      <c r="J104" s="19">
        <f>ROUND((G103)*0.009/12 +D104* F104*0.009/12, 2)</f>
        <v/>
      </c>
      <c r="K104" s="19" t="n"/>
      <c r="L104" s="28" t="n">
        <v>27.5600000000001</v>
      </c>
      <c r="M104" s="19">
        <f>C104-J104</f>
        <v/>
      </c>
      <c r="N104" s="19">
        <f>B104-M104</f>
        <v/>
      </c>
      <c r="O104" s="19">
        <f>J104+K104+L104</f>
        <v/>
      </c>
    </row>
    <row r="105" ht="15.75" customHeight="1">
      <c r="A105" s="27" t="n">
        <v>47371</v>
      </c>
      <c r="B105" s="19" t="n">
        <v>1056.64000000001</v>
      </c>
      <c r="C105" s="19">
        <f>ROUND(1056.64*I105, 2)</f>
        <v/>
      </c>
      <c r="D105" s="19" t="n"/>
      <c r="E105" s="19" t="n"/>
      <c r="F105" s="19" t="n"/>
      <c r="G105" s="19">
        <f>G104-M105+D105</f>
        <v/>
      </c>
      <c r="H105" s="19">
        <f>H104-M105</f>
        <v/>
      </c>
      <c r="I105" s="20" t="n">
        <v>1</v>
      </c>
      <c r="J105" s="19">
        <f>ROUND((G104)*0.009/12 +D105* F105*0.009/12, 2)</f>
        <v/>
      </c>
      <c r="K105" s="19" t="n"/>
      <c r="L105" s="28" t="n">
        <v>27.5600000000001</v>
      </c>
      <c r="M105" s="19">
        <f>C105-J105</f>
        <v/>
      </c>
      <c r="N105" s="19">
        <f>B105-M105</f>
        <v/>
      </c>
      <c r="O105" s="19">
        <f>J105+K105+L105</f>
        <v/>
      </c>
    </row>
    <row r="106" ht="15.75" customHeight="1">
      <c r="A106" s="27" t="n">
        <v>47401</v>
      </c>
      <c r="B106" s="19" t="n">
        <v>1056.64000000001</v>
      </c>
      <c r="C106" s="19">
        <f>ROUND(1056.64*I106, 2)</f>
        <v/>
      </c>
      <c r="D106" s="19" t="n"/>
      <c r="E106" s="19" t="n"/>
      <c r="F106" s="19" t="n"/>
      <c r="G106" s="19">
        <f>G105-M106+D106</f>
        <v/>
      </c>
      <c r="H106" s="19">
        <f>H105-M106</f>
        <v/>
      </c>
      <c r="I106" s="20" t="n">
        <v>1</v>
      </c>
      <c r="J106" s="19">
        <f>ROUND((G105)*0.009/12 +D106* F106*0.009/12, 2)</f>
        <v/>
      </c>
      <c r="K106" s="19" t="n"/>
      <c r="L106" s="28" t="n">
        <v>27.5600000000001</v>
      </c>
      <c r="M106" s="19">
        <f>C106-J106</f>
        <v/>
      </c>
      <c r="N106" s="19">
        <f>B106-M106</f>
        <v/>
      </c>
      <c r="O106" s="19">
        <f>J106+K106+L106</f>
        <v/>
      </c>
    </row>
    <row r="107" ht="15.75" customHeight="1">
      <c r="A107" s="27" t="n">
        <v>47432</v>
      </c>
      <c r="B107" s="19" t="n">
        <v>1056.64000000001</v>
      </c>
      <c r="C107" s="19">
        <f>ROUND(1056.64*I107, 2)</f>
        <v/>
      </c>
      <c r="D107" s="19" t="n"/>
      <c r="E107" s="19" t="n"/>
      <c r="F107" s="19" t="n"/>
      <c r="G107" s="19">
        <f>G106-M107+D107</f>
        <v/>
      </c>
      <c r="H107" s="19">
        <f>H106-M107</f>
        <v/>
      </c>
      <c r="I107" s="20" t="n">
        <v>1</v>
      </c>
      <c r="J107" s="19">
        <f>ROUND((G106)*0.009/12 +D107* F107*0.009/12, 2)</f>
        <v/>
      </c>
      <c r="K107" s="19" t="n"/>
      <c r="L107" s="28" t="n">
        <v>27.5600000000001</v>
      </c>
      <c r="M107" s="19">
        <f>C107-J107</f>
        <v/>
      </c>
      <c r="N107" s="19">
        <f>B107-M107</f>
        <v/>
      </c>
      <c r="O107" s="19">
        <f>J107+K107+L107</f>
        <v/>
      </c>
    </row>
    <row r="108" ht="15.75" customHeight="1">
      <c r="A108" s="27" t="n">
        <v>47462</v>
      </c>
      <c r="B108" s="19" t="n">
        <v>1056.64000000001</v>
      </c>
      <c r="C108" s="19">
        <f>ROUND(1056.64*I108, 2)</f>
        <v/>
      </c>
      <c r="D108" s="19" t="n"/>
      <c r="E108" s="19" t="n"/>
      <c r="F108" s="19" t="n"/>
      <c r="G108" s="19">
        <f>G107-M108+D108</f>
        <v/>
      </c>
      <c r="H108" s="19">
        <f>H107-M108</f>
        <v/>
      </c>
      <c r="I108" s="20" t="n">
        <v>1</v>
      </c>
      <c r="J108" s="19">
        <f>ROUND((G107)*0.009/12 +D108* F108*0.009/12, 2)</f>
        <v/>
      </c>
      <c r="K108" s="19" t="n"/>
      <c r="L108" s="28" t="n">
        <v>27.5600000000001</v>
      </c>
      <c r="M108" s="19">
        <f>C108-J108</f>
        <v/>
      </c>
      <c r="N108" s="19">
        <f>B108-M108</f>
        <v/>
      </c>
      <c r="O108" s="19">
        <f>J108+K108+L108</f>
        <v/>
      </c>
    </row>
    <row r="109" ht="15.75" customHeight="1">
      <c r="A109" s="27" t="n">
        <v>47493</v>
      </c>
      <c r="B109" s="19" t="n">
        <v>1056.64000000001</v>
      </c>
      <c r="C109" s="19">
        <f>ROUND(1056.64*I109, 2)</f>
        <v/>
      </c>
      <c r="D109" s="19" t="n"/>
      <c r="E109" s="19" t="n"/>
      <c r="F109" s="19" t="n"/>
      <c r="G109" s="19">
        <f>G108-M109+D109</f>
        <v/>
      </c>
      <c r="H109" s="19">
        <f>H108-M109</f>
        <v/>
      </c>
      <c r="I109" s="20" t="n">
        <v>1</v>
      </c>
      <c r="J109" s="19">
        <f>ROUND((G108)*0.009/12 +D109* F109*0.009/12, 2)</f>
        <v/>
      </c>
      <c r="K109" s="19" t="n"/>
      <c r="L109" s="28" t="n">
        <v>27.5600000000001</v>
      </c>
      <c r="M109" s="19">
        <f>C109-J109</f>
        <v/>
      </c>
      <c r="N109" s="19">
        <f>B109-M109</f>
        <v/>
      </c>
      <c r="O109" s="19">
        <f>J109+K109+L109</f>
        <v/>
      </c>
    </row>
    <row r="110" ht="15.75" customHeight="1">
      <c r="A110" s="27" t="n">
        <v>47524</v>
      </c>
      <c r="B110" s="19" t="n">
        <v>1056.64000000001</v>
      </c>
      <c r="C110" s="19">
        <f>ROUND(1056.64*I110, 2)</f>
        <v/>
      </c>
      <c r="D110" s="19" t="n"/>
      <c r="E110" s="19" t="n"/>
      <c r="F110" s="19" t="n"/>
      <c r="G110" s="19">
        <f>G109-M110+D110</f>
        <v/>
      </c>
      <c r="H110" s="19">
        <f>H109-M110</f>
        <v/>
      </c>
      <c r="I110" s="20" t="n">
        <v>1</v>
      </c>
      <c r="J110" s="19">
        <f>ROUND((G109)*0.009/12 +D110* F110*0.009/12, 2)</f>
        <v/>
      </c>
      <c r="K110" s="19" t="n"/>
      <c r="L110" s="28" t="n">
        <v>27.5600000000001</v>
      </c>
      <c r="M110" s="19">
        <f>C110-J110</f>
        <v/>
      </c>
      <c r="N110" s="19">
        <f>B110-M110</f>
        <v/>
      </c>
      <c r="O110" s="19">
        <f>J110+K110+L110</f>
        <v/>
      </c>
    </row>
    <row r="111" ht="15.75" customHeight="1">
      <c r="A111" s="27" t="n">
        <v>47552</v>
      </c>
      <c r="B111" s="19" t="n">
        <v>1056.64000000001</v>
      </c>
      <c r="C111" s="19">
        <f>ROUND(1056.64*I111, 2)</f>
        <v/>
      </c>
      <c r="D111" s="19" t="n"/>
      <c r="E111" s="19" t="n"/>
      <c r="F111" s="19" t="n"/>
      <c r="G111" s="19">
        <f>G110-M111+D111</f>
        <v/>
      </c>
      <c r="H111" s="19">
        <f>H110-M111</f>
        <v/>
      </c>
      <c r="I111" s="20" t="n">
        <v>1</v>
      </c>
      <c r="J111" s="19">
        <f>ROUND((G110)*0.009/12 +D111* F111*0.009/12, 2)</f>
        <v/>
      </c>
      <c r="K111" s="19" t="n"/>
      <c r="L111" s="28" t="n">
        <v>27.5600000000001</v>
      </c>
      <c r="M111" s="19">
        <f>C111-J111</f>
        <v/>
      </c>
      <c r="N111" s="19">
        <f>B111-M111</f>
        <v/>
      </c>
      <c r="O111" s="19">
        <f>J111+K111+L111</f>
        <v/>
      </c>
    </row>
    <row r="112" ht="15.75" customHeight="1">
      <c r="A112" s="27" t="n">
        <v>47583</v>
      </c>
      <c r="B112" s="19" t="n">
        <v>1056.64000000001</v>
      </c>
      <c r="C112" s="19">
        <f>ROUND(1056.64*I112, 2)</f>
        <v/>
      </c>
      <c r="D112" s="19" t="n"/>
      <c r="E112" s="19" t="n"/>
      <c r="F112" s="19" t="n"/>
      <c r="G112" s="19">
        <f>G111-M112+D112</f>
        <v/>
      </c>
      <c r="H112" s="19">
        <f>H111-M112</f>
        <v/>
      </c>
      <c r="I112" s="20" t="n">
        <v>1</v>
      </c>
      <c r="J112" s="19">
        <f>ROUND((G111)*0.009/12 +D112* F112*0.009/12, 2)</f>
        <v/>
      </c>
      <c r="K112" s="19" t="n"/>
      <c r="L112" s="28" t="n">
        <v>27.5600000000001</v>
      </c>
      <c r="M112" s="19">
        <f>C112-J112</f>
        <v/>
      </c>
      <c r="N112" s="19">
        <f>B112-M112</f>
        <v/>
      </c>
      <c r="O112" s="19">
        <f>J112+K112+L112</f>
        <v/>
      </c>
    </row>
    <row r="113" ht="15.75" customHeight="1">
      <c r="A113" s="27" t="n">
        <v>47613</v>
      </c>
      <c r="B113" s="19" t="n">
        <v>1056.64000000001</v>
      </c>
      <c r="C113" s="19">
        <f>ROUND(1056.64*I113, 2)</f>
        <v/>
      </c>
      <c r="D113" s="19" t="n"/>
      <c r="E113" s="19" t="n"/>
      <c r="F113" s="19" t="n"/>
      <c r="G113" s="19">
        <f>G112-M113+D113</f>
        <v/>
      </c>
      <c r="H113" s="19">
        <f>H112-M113</f>
        <v/>
      </c>
      <c r="I113" s="20" t="n">
        <v>1</v>
      </c>
      <c r="J113" s="19">
        <f>ROUND((G112)*0.009/12 +D113* F113*0.009/12, 2)</f>
        <v/>
      </c>
      <c r="K113" s="19" t="n"/>
      <c r="L113" s="28" t="n">
        <v>27.5600000000001</v>
      </c>
      <c r="M113" s="19">
        <f>C113-J113</f>
        <v/>
      </c>
      <c r="N113" s="19">
        <f>B113-M113</f>
        <v/>
      </c>
      <c r="O113" s="19">
        <f>J113+K113+L113</f>
        <v/>
      </c>
    </row>
    <row r="114" ht="15.75" customHeight="1">
      <c r="A114" s="27" t="n">
        <v>47644</v>
      </c>
      <c r="B114" s="19" t="n">
        <v>1056.64000000001</v>
      </c>
      <c r="C114" s="19">
        <f>ROUND(1056.64*I114, 2)</f>
        <v/>
      </c>
      <c r="D114" s="19" t="n"/>
      <c r="E114" s="19" t="n"/>
      <c r="F114" s="19" t="n"/>
      <c r="G114" s="19">
        <f>G113-M114+D114</f>
        <v/>
      </c>
      <c r="H114" s="19">
        <f>H113-M114</f>
        <v/>
      </c>
      <c r="I114" s="20" t="n">
        <v>1</v>
      </c>
      <c r="J114" s="19">
        <f>ROUND((G113)*0.009/12 +D114* F114*0.009/12, 2)</f>
        <v/>
      </c>
      <c r="K114" s="19" t="n"/>
      <c r="L114" s="28" t="n">
        <v>27.5600000000001</v>
      </c>
      <c r="M114" s="19">
        <f>C114-J114</f>
        <v/>
      </c>
      <c r="N114" s="19">
        <f>B114-M114</f>
        <v/>
      </c>
      <c r="O114" s="19">
        <f>J114+K114+L114</f>
        <v/>
      </c>
    </row>
    <row r="115" ht="15.75" customHeight="1">
      <c r="A115" s="27" t="n">
        <v>47674</v>
      </c>
      <c r="B115" s="19" t="n">
        <v>1056.64000000001</v>
      </c>
      <c r="C115" s="19">
        <f>ROUND(1056.64*I115, 2)</f>
        <v/>
      </c>
      <c r="D115" s="19" t="n"/>
      <c r="E115" s="19" t="n"/>
      <c r="F115" s="19" t="n"/>
      <c r="G115" s="19">
        <f>G114-M115+D115</f>
        <v/>
      </c>
      <c r="H115" s="19">
        <f>H114-M115</f>
        <v/>
      </c>
      <c r="I115" s="20" t="n">
        <v>1</v>
      </c>
      <c r="J115" s="19">
        <f>ROUND((G114)*0.009/12 +D115* F115*0.009/12, 2)</f>
        <v/>
      </c>
      <c r="K115" s="19" t="n"/>
      <c r="L115" s="28" t="n">
        <v>27.5600000000001</v>
      </c>
      <c r="M115" s="19">
        <f>C115-J115</f>
        <v/>
      </c>
      <c r="N115" s="19">
        <f>B115-M115</f>
        <v/>
      </c>
      <c r="O115" s="19">
        <f>J115+K115+L115</f>
        <v/>
      </c>
    </row>
    <row r="116" ht="15.75" customHeight="1">
      <c r="A116" s="27" t="n">
        <v>47705</v>
      </c>
      <c r="B116" s="19" t="n">
        <v>1056.64000000001</v>
      </c>
      <c r="C116" s="19">
        <f>ROUND(1056.64*I116, 2)</f>
        <v/>
      </c>
      <c r="D116" s="19" t="n"/>
      <c r="E116" s="19" t="n"/>
      <c r="F116" s="19" t="n"/>
      <c r="G116" s="19">
        <f>G115-M116+D116</f>
        <v/>
      </c>
      <c r="H116" s="19">
        <f>H115-M116</f>
        <v/>
      </c>
      <c r="I116" s="20" t="n">
        <v>1</v>
      </c>
      <c r="J116" s="19">
        <f>ROUND((G115)*0.009/12 +D116* F116*0.009/12, 2)</f>
        <v/>
      </c>
      <c r="K116" s="19" t="n"/>
      <c r="L116" s="28" t="n">
        <v>27.5600000000001</v>
      </c>
      <c r="M116" s="19">
        <f>C116-J116</f>
        <v/>
      </c>
      <c r="N116" s="19">
        <f>B116-M116</f>
        <v/>
      </c>
      <c r="O116" s="19">
        <f>J116+K116+L116</f>
        <v/>
      </c>
    </row>
    <row r="117" ht="15.75" customHeight="1">
      <c r="A117" s="27" t="n">
        <v>47736</v>
      </c>
      <c r="B117" s="19" t="n">
        <v>1056.64000000001</v>
      </c>
      <c r="C117" s="19">
        <f>ROUND(1056.64*I117, 2)</f>
        <v/>
      </c>
      <c r="D117" s="19" t="n"/>
      <c r="E117" s="19" t="n"/>
      <c r="F117" s="19" t="n"/>
      <c r="G117" s="19">
        <f>G116-M117+D117</f>
        <v/>
      </c>
      <c r="H117" s="19">
        <f>H116-M117</f>
        <v/>
      </c>
      <c r="I117" s="20" t="n">
        <v>1</v>
      </c>
      <c r="J117" s="19">
        <f>ROUND((G116)*0.009/12 +D117* F117*0.009/12, 2)</f>
        <v/>
      </c>
      <c r="K117" s="19" t="n"/>
      <c r="L117" s="28" t="n">
        <v>27.5600000000001</v>
      </c>
      <c r="M117" s="19">
        <f>C117-J117</f>
        <v/>
      </c>
      <c r="N117" s="19">
        <f>B117-M117</f>
        <v/>
      </c>
      <c r="O117" s="19">
        <f>J117+K117+L117</f>
        <v/>
      </c>
    </row>
    <row r="118" ht="15.75" customHeight="1">
      <c r="A118" s="27" t="n">
        <v>47766</v>
      </c>
      <c r="B118" s="19" t="n">
        <v>1056.64000000001</v>
      </c>
      <c r="C118" s="19">
        <f>ROUND(1056.64*I118, 2)</f>
        <v/>
      </c>
      <c r="D118" s="19" t="n"/>
      <c r="E118" s="19" t="n"/>
      <c r="F118" s="19" t="n"/>
      <c r="G118" s="19">
        <f>G117-M118+D118</f>
        <v/>
      </c>
      <c r="H118" s="19">
        <f>H117-M118</f>
        <v/>
      </c>
      <c r="I118" s="20" t="n">
        <v>1</v>
      </c>
      <c r="J118" s="19">
        <f>ROUND((G117)*0.009/12 +D118* F118*0.009/12, 2)</f>
        <v/>
      </c>
      <c r="K118" s="19" t="n"/>
      <c r="L118" s="28" t="n">
        <v>27.5600000000001</v>
      </c>
      <c r="M118" s="19">
        <f>C118-J118</f>
        <v/>
      </c>
      <c r="N118" s="19">
        <f>B118-M118</f>
        <v/>
      </c>
      <c r="O118" s="19">
        <f>J118+K118+L118</f>
        <v/>
      </c>
    </row>
    <row r="119" ht="15.75" customHeight="1">
      <c r="A119" s="27" t="n">
        <v>47797</v>
      </c>
      <c r="B119" s="19" t="n">
        <v>1056.64000000001</v>
      </c>
      <c r="C119" s="19">
        <f>ROUND(1056.64*I119, 2)</f>
        <v/>
      </c>
      <c r="D119" s="19" t="n"/>
      <c r="E119" s="19" t="n"/>
      <c r="F119" s="19" t="n"/>
      <c r="G119" s="19">
        <f>G118-M119+D119</f>
        <v/>
      </c>
      <c r="H119" s="19">
        <f>H118-M119</f>
        <v/>
      </c>
      <c r="I119" s="20" t="n">
        <v>1</v>
      </c>
      <c r="J119" s="19">
        <f>ROUND((G118)*0.009/12 +D119* F119*0.009/12, 2)</f>
        <v/>
      </c>
      <c r="K119" s="19" t="n"/>
      <c r="L119" s="28" t="n">
        <v>27.5600000000001</v>
      </c>
      <c r="M119" s="19">
        <f>C119-J119</f>
        <v/>
      </c>
      <c r="N119" s="19">
        <f>B119-M119</f>
        <v/>
      </c>
      <c r="O119" s="19">
        <f>J119+K119+L119</f>
        <v/>
      </c>
    </row>
    <row r="120" ht="15.75" customHeight="1">
      <c r="A120" s="27" t="n">
        <v>47827</v>
      </c>
      <c r="B120" s="19" t="n">
        <v>1056.64000000001</v>
      </c>
      <c r="C120" s="19">
        <f>ROUND(1056.64*I120, 2)</f>
        <v/>
      </c>
      <c r="D120" s="19" t="n"/>
      <c r="E120" s="19" t="n"/>
      <c r="F120" s="19" t="n"/>
      <c r="G120" s="19">
        <f>G119-M120+D120</f>
        <v/>
      </c>
      <c r="H120" s="19">
        <f>H119-M120</f>
        <v/>
      </c>
      <c r="I120" s="20" t="n">
        <v>1</v>
      </c>
      <c r="J120" s="19">
        <f>ROUND((G119)*0.009/12 +D120* F120*0.009/12, 2)</f>
        <v/>
      </c>
      <c r="K120" s="19" t="n"/>
      <c r="L120" s="28" t="n">
        <v>27.5600000000001</v>
      </c>
      <c r="M120" s="19">
        <f>C120-J120</f>
        <v/>
      </c>
      <c r="N120" s="19">
        <f>B120-M120</f>
        <v/>
      </c>
      <c r="O120" s="19">
        <f>J120+K120+L120</f>
        <v/>
      </c>
    </row>
    <row r="121" ht="15.75" customHeight="1">
      <c r="A121" s="27" t="n">
        <v>47858</v>
      </c>
      <c r="B121" s="19" t="n">
        <v>1056.64000000001</v>
      </c>
      <c r="C121" s="19">
        <f>ROUND(1056.64*I121, 2)</f>
        <v/>
      </c>
      <c r="D121" s="19" t="n"/>
      <c r="E121" s="19" t="n"/>
      <c r="F121" s="19" t="n"/>
      <c r="G121" s="19">
        <f>G120-M121+D121</f>
        <v/>
      </c>
      <c r="H121" s="19">
        <f>H120-M121</f>
        <v/>
      </c>
      <c r="I121" s="20" t="n">
        <v>1</v>
      </c>
      <c r="J121" s="19">
        <f>ROUND((G120)*0.009/12 +D121* F121*0.009/12, 2)</f>
        <v/>
      </c>
      <c r="K121" s="19" t="n"/>
      <c r="L121" s="28" t="n">
        <v>27.5600000000002</v>
      </c>
      <c r="M121" s="19">
        <f>C121-J121</f>
        <v/>
      </c>
      <c r="N121" s="19">
        <f>B121-M121</f>
        <v/>
      </c>
      <c r="O121" s="19">
        <f>J121+K121+L121</f>
        <v/>
      </c>
    </row>
    <row r="122" ht="15.75" customHeight="1">
      <c r="A122" s="27" t="n">
        <v>47889</v>
      </c>
      <c r="B122" s="19" t="n">
        <v>1056.64000000001</v>
      </c>
      <c r="C122" s="19">
        <f>ROUND(1056.64*I122, 2)</f>
        <v/>
      </c>
      <c r="D122" s="19" t="n"/>
      <c r="E122" s="19" t="n"/>
      <c r="F122" s="19" t="n"/>
      <c r="G122" s="19">
        <f>G121-M122+D122</f>
        <v/>
      </c>
      <c r="H122" s="19">
        <f>H121-M122</f>
        <v/>
      </c>
      <c r="I122" s="20" t="n">
        <v>1</v>
      </c>
      <c r="J122" s="19">
        <f>ROUND((G121)*0.009/12 +D122* F122*0.009/12, 2)</f>
        <v/>
      </c>
      <c r="K122" s="19" t="n"/>
      <c r="L122" s="28" t="n">
        <v>27.5600000000002</v>
      </c>
      <c r="M122" s="19">
        <f>C122-J122</f>
        <v/>
      </c>
      <c r="N122" s="19">
        <f>B122-M122</f>
        <v/>
      </c>
      <c r="O122" s="19">
        <f>J122+K122+L122</f>
        <v/>
      </c>
    </row>
    <row r="123" ht="15.75" customHeight="1">
      <c r="A123" s="27" t="n">
        <v>47917</v>
      </c>
      <c r="B123" s="19" t="n">
        <v>1056.64000000001</v>
      </c>
      <c r="C123" s="19">
        <f>ROUND(1056.64*I123, 2)</f>
        <v/>
      </c>
      <c r="D123" s="19" t="n"/>
      <c r="E123" s="19" t="n"/>
      <c r="F123" s="19" t="n"/>
      <c r="G123" s="19">
        <f>G122-M123+D123</f>
        <v/>
      </c>
      <c r="H123" s="19">
        <f>H122-M123</f>
        <v/>
      </c>
      <c r="I123" s="20" t="n">
        <v>1</v>
      </c>
      <c r="J123" s="19">
        <f>ROUND((G122)*0.009/12 +D123* F123*0.009/12, 2)</f>
        <v/>
      </c>
      <c r="K123" s="19" t="n"/>
      <c r="L123" s="28" t="n">
        <v>27.5600000000002</v>
      </c>
      <c r="M123" s="19">
        <f>C123-J123</f>
        <v/>
      </c>
      <c r="N123" s="19">
        <f>B123-M123</f>
        <v/>
      </c>
      <c r="O123" s="19">
        <f>J123+K123+L123</f>
        <v/>
      </c>
    </row>
    <row r="124" ht="15.75" customHeight="1">
      <c r="A124" s="27" t="n">
        <v>47948</v>
      </c>
      <c r="B124" s="19" t="n">
        <v>1056.64000000001</v>
      </c>
      <c r="C124" s="19">
        <f>ROUND(1056.64*I124, 2)</f>
        <v/>
      </c>
      <c r="D124" s="19" t="n"/>
      <c r="E124" s="19" t="n"/>
      <c r="F124" s="19" t="n"/>
      <c r="G124" s="19">
        <f>G123-M124+D124</f>
        <v/>
      </c>
      <c r="H124" s="19">
        <f>H123-M124</f>
        <v/>
      </c>
      <c r="I124" s="20" t="n">
        <v>1</v>
      </c>
      <c r="J124" s="19">
        <f>ROUND((G123)*0.009/12 +D124* F124*0.009/12, 2)</f>
        <v/>
      </c>
      <c r="K124" s="19" t="n"/>
      <c r="L124" s="28" t="n">
        <v>27.5600000000002</v>
      </c>
      <c r="M124" s="19">
        <f>C124-J124</f>
        <v/>
      </c>
      <c r="N124" s="19">
        <f>B124-M124</f>
        <v/>
      </c>
      <c r="O124" s="19">
        <f>J124+K124+L124</f>
        <v/>
      </c>
    </row>
    <row r="125" ht="15.75" customHeight="1">
      <c r="A125" s="27" t="n">
        <v>47978</v>
      </c>
      <c r="B125" s="19" t="n">
        <v>1056.64000000001</v>
      </c>
      <c r="C125" s="19">
        <f>ROUND(1056.64*I125, 2)</f>
        <v/>
      </c>
      <c r="D125" s="19" t="n"/>
      <c r="E125" s="19" t="n"/>
      <c r="F125" s="19" t="n"/>
      <c r="G125" s="19">
        <f>G124-M125+D125</f>
        <v/>
      </c>
      <c r="H125" s="19">
        <f>H124-M125</f>
        <v/>
      </c>
      <c r="I125" s="20" t="n">
        <v>1</v>
      </c>
      <c r="J125" s="19">
        <f>ROUND((G124)*0.009/12 +D125* F125*0.009/12, 2)</f>
        <v/>
      </c>
      <c r="K125" s="19" t="n"/>
      <c r="L125" s="28" t="n">
        <v>27.5600000000002</v>
      </c>
      <c r="M125" s="19">
        <f>C125-J125</f>
        <v/>
      </c>
      <c r="N125" s="19">
        <f>B125-M125</f>
        <v/>
      </c>
      <c r="O125" s="19">
        <f>J125+K125+L125</f>
        <v/>
      </c>
    </row>
    <row r="126" ht="15.75" customHeight="1">
      <c r="A126" s="27" t="n">
        <v>48009</v>
      </c>
      <c r="B126" s="19" t="n">
        <v>1056.64000000001</v>
      </c>
      <c r="C126" s="19">
        <f>ROUND(1056.64*I126, 2)</f>
        <v/>
      </c>
      <c r="D126" s="19" t="n"/>
      <c r="E126" s="19" t="n"/>
      <c r="F126" s="19" t="n"/>
      <c r="G126" s="19">
        <f>G125-M126+D126</f>
        <v/>
      </c>
      <c r="H126" s="19">
        <f>H125-M126</f>
        <v/>
      </c>
      <c r="I126" s="20" t="n">
        <v>1</v>
      </c>
      <c r="J126" s="19">
        <f>ROUND((G125)*0.009/12 +D126* F126*0.009/12, 2)</f>
        <v/>
      </c>
      <c r="K126" s="19" t="n"/>
      <c r="L126" s="28" t="n">
        <v>27.5600000000002</v>
      </c>
      <c r="M126" s="19">
        <f>C126-J126</f>
        <v/>
      </c>
      <c r="N126" s="19">
        <f>B126-M126</f>
        <v/>
      </c>
      <c r="O126" s="19">
        <f>J126+K126+L126</f>
        <v/>
      </c>
    </row>
    <row r="127" ht="15.75" customHeight="1">
      <c r="A127" s="27" t="n">
        <v>48039</v>
      </c>
      <c r="B127" s="19" t="n">
        <v>1056.64000000001</v>
      </c>
      <c r="C127" s="19">
        <f>ROUND(1056.64*I127, 2)</f>
        <v/>
      </c>
      <c r="D127" s="19" t="n"/>
      <c r="E127" s="19" t="n"/>
      <c r="F127" s="19" t="n"/>
      <c r="G127" s="19">
        <f>G126-M127+D127</f>
        <v/>
      </c>
      <c r="H127" s="19">
        <f>H126-M127</f>
        <v/>
      </c>
      <c r="I127" s="20" t="n">
        <v>1</v>
      </c>
      <c r="J127" s="19">
        <f>ROUND((G126)*0.009/12 +D127* F127*0.009/12, 2)</f>
        <v/>
      </c>
      <c r="K127" s="19" t="n"/>
      <c r="L127" s="28" t="n">
        <v>27.5600000000002</v>
      </c>
      <c r="M127" s="19">
        <f>C127-J127</f>
        <v/>
      </c>
      <c r="N127" s="19">
        <f>B127-M127</f>
        <v/>
      </c>
      <c r="O127" s="19">
        <f>J127+K127+L127</f>
        <v/>
      </c>
    </row>
    <row r="128" ht="15.75" customHeight="1">
      <c r="A128" s="27" t="n">
        <v>48070</v>
      </c>
      <c r="B128" s="19" t="n">
        <v>1056.64000000001</v>
      </c>
      <c r="C128" s="19">
        <f>ROUND(1056.64*I128, 2)</f>
        <v/>
      </c>
      <c r="D128" s="19" t="n"/>
      <c r="E128" s="19" t="n"/>
      <c r="F128" s="19" t="n"/>
      <c r="G128" s="19">
        <f>G127-M128+D128</f>
        <v/>
      </c>
      <c r="H128" s="19">
        <f>H127-M128</f>
        <v/>
      </c>
      <c r="I128" s="20" t="n">
        <v>1</v>
      </c>
      <c r="J128" s="19">
        <f>ROUND((G127)*0.009/12 +D128* F128*0.009/12, 2)</f>
        <v/>
      </c>
      <c r="K128" s="19" t="n"/>
      <c r="L128" s="28" t="n">
        <v>27.5600000000002</v>
      </c>
      <c r="M128" s="19">
        <f>C128-J128</f>
        <v/>
      </c>
      <c r="N128" s="19">
        <f>B128-M128</f>
        <v/>
      </c>
      <c r="O128" s="19">
        <f>J128+K128+L128</f>
        <v/>
      </c>
    </row>
    <row r="129" ht="15.75" customHeight="1">
      <c r="A129" s="27" t="n">
        <v>48101</v>
      </c>
      <c r="B129" s="19" t="n">
        <v>1056.64000000001</v>
      </c>
      <c r="C129" s="19">
        <f>ROUND(1056.64*I129, 2)</f>
        <v/>
      </c>
      <c r="D129" s="19" t="n"/>
      <c r="E129" s="19" t="n"/>
      <c r="F129" s="19" t="n"/>
      <c r="G129" s="19">
        <f>G128-M129+D129</f>
        <v/>
      </c>
      <c r="H129" s="19">
        <f>H128-M129</f>
        <v/>
      </c>
      <c r="I129" s="20" t="n">
        <v>1</v>
      </c>
      <c r="J129" s="19">
        <f>ROUND((G128)*0.009/12 +D129* F129*0.009/12, 2)</f>
        <v/>
      </c>
      <c r="K129" s="19" t="n"/>
      <c r="L129" s="28" t="n">
        <v>27.5600000000002</v>
      </c>
      <c r="M129" s="19">
        <f>C129-J129</f>
        <v/>
      </c>
      <c r="N129" s="19">
        <f>B129-M129</f>
        <v/>
      </c>
      <c r="O129" s="19">
        <f>J129+K129+L129</f>
        <v/>
      </c>
    </row>
    <row r="130" ht="15.75" customHeight="1">
      <c r="A130" s="27" t="n">
        <v>48131</v>
      </c>
      <c r="B130" s="19" t="n">
        <v>1056.64000000001</v>
      </c>
      <c r="C130" s="19">
        <f>ROUND(1056.64*I130, 2)</f>
        <v/>
      </c>
      <c r="D130" s="19" t="n"/>
      <c r="E130" s="19" t="n"/>
      <c r="F130" s="19" t="n"/>
      <c r="G130" s="19">
        <f>G129-M130+D130</f>
        <v/>
      </c>
      <c r="H130" s="19">
        <f>H129-M130</f>
        <v/>
      </c>
      <c r="I130" s="20" t="n">
        <v>1</v>
      </c>
      <c r="J130" s="19">
        <f>ROUND((G129)*0.009/12 +D130* F130*0.009/12, 2)</f>
        <v/>
      </c>
      <c r="K130" s="19" t="n"/>
      <c r="L130" s="28" t="n">
        <v>27.5600000000002</v>
      </c>
      <c r="M130" s="19">
        <f>C130-J130</f>
        <v/>
      </c>
      <c r="N130" s="19">
        <f>B130-M130</f>
        <v/>
      </c>
      <c r="O130" s="19">
        <f>J130+K130+L130</f>
        <v/>
      </c>
    </row>
    <row r="131" ht="15.75" customHeight="1">
      <c r="A131" s="27" t="n">
        <v>48162</v>
      </c>
      <c r="B131" s="19" t="n">
        <v>1056.64000000001</v>
      </c>
      <c r="C131" s="19">
        <f>ROUND(1056.64*I131, 2)</f>
        <v/>
      </c>
      <c r="D131" s="19" t="n"/>
      <c r="E131" s="19" t="n"/>
      <c r="F131" s="19" t="n"/>
      <c r="G131" s="19">
        <f>G130-M131+D131</f>
        <v/>
      </c>
      <c r="H131" s="19">
        <f>H130-M131</f>
        <v/>
      </c>
      <c r="I131" s="20" t="n">
        <v>1</v>
      </c>
      <c r="J131" s="19">
        <f>ROUND((G130)*0.009/12 +D131* F131*0.009/12, 2)</f>
        <v/>
      </c>
      <c r="K131" s="19" t="n"/>
      <c r="L131" s="28" t="n">
        <v>27.5600000000002</v>
      </c>
      <c r="M131" s="19">
        <f>C131-J131</f>
        <v/>
      </c>
      <c r="N131" s="19">
        <f>B131-M131</f>
        <v/>
      </c>
      <c r="O131" s="19">
        <f>J131+K131+L131</f>
        <v/>
      </c>
    </row>
    <row r="132" ht="15.75" customHeight="1">
      <c r="A132" s="27" t="n">
        <v>48192</v>
      </c>
      <c r="B132" s="19" t="n">
        <v>1056.64000000001</v>
      </c>
      <c r="C132" s="19">
        <f>ROUND(1056.64*I132, 2)</f>
        <v/>
      </c>
      <c r="D132" s="19" t="n"/>
      <c r="E132" s="19" t="n"/>
      <c r="F132" s="19" t="n"/>
      <c r="G132" s="19">
        <f>G131-M132+D132</f>
        <v/>
      </c>
      <c r="H132" s="19">
        <f>H131-M132</f>
        <v/>
      </c>
      <c r="I132" s="20" t="n">
        <v>1</v>
      </c>
      <c r="J132" s="19">
        <f>ROUND((G131)*0.009/12 +D132* F132*0.009/12, 2)</f>
        <v/>
      </c>
      <c r="K132" s="19" t="n"/>
      <c r="L132" s="28" t="n">
        <v>27.5600000000002</v>
      </c>
      <c r="M132" s="19">
        <f>C132-J132</f>
        <v/>
      </c>
      <c r="N132" s="19">
        <f>B132-M132</f>
        <v/>
      </c>
      <c r="O132" s="19">
        <f>J132+K132+L132</f>
        <v/>
      </c>
    </row>
    <row r="133" ht="15.75" customHeight="1">
      <c r="A133" s="27" t="n">
        <v>48223</v>
      </c>
      <c r="B133" s="19" t="n">
        <v>1056.64000000001</v>
      </c>
      <c r="C133" s="19">
        <f>ROUND(1056.64*I133, 2)</f>
        <v/>
      </c>
      <c r="D133" s="19" t="n"/>
      <c r="E133" s="19" t="n"/>
      <c r="F133" s="19" t="n"/>
      <c r="G133" s="19">
        <f>G132-M133+D133</f>
        <v/>
      </c>
      <c r="H133" s="19">
        <f>H132-M133</f>
        <v/>
      </c>
      <c r="I133" s="20" t="n">
        <v>1</v>
      </c>
      <c r="J133" s="19">
        <f>ROUND((G132)*0.009/12 +D133* F133*0.009/12, 2)</f>
        <v/>
      </c>
      <c r="K133" s="19" t="n"/>
      <c r="L133" s="28" t="n">
        <v>27.5600000000002</v>
      </c>
      <c r="M133" s="19">
        <f>C133-J133</f>
        <v/>
      </c>
      <c r="N133" s="19">
        <f>B133-M133</f>
        <v/>
      </c>
      <c r="O133" s="19">
        <f>J133+K133+L133</f>
        <v/>
      </c>
    </row>
    <row r="134" ht="15.75" customHeight="1">
      <c r="A134" s="27" t="n">
        <v>48254</v>
      </c>
      <c r="B134" s="19" t="n">
        <v>1056.64000000001</v>
      </c>
      <c r="C134" s="19">
        <f>ROUND(1056.64*I134, 2)</f>
        <v/>
      </c>
      <c r="D134" s="19" t="n"/>
      <c r="E134" s="19" t="n"/>
      <c r="F134" s="19" t="n"/>
      <c r="G134" s="19">
        <f>G133-M134+D134</f>
        <v/>
      </c>
      <c r="H134" s="19">
        <f>H133-M134</f>
        <v/>
      </c>
      <c r="I134" s="20" t="n">
        <v>1</v>
      </c>
      <c r="J134" s="19">
        <f>ROUND((G133)*0.009/12 +D134* F134*0.009/12, 2)</f>
        <v/>
      </c>
      <c r="K134" s="19" t="n"/>
      <c r="L134" s="28" t="n">
        <v>27.5600000000002</v>
      </c>
      <c r="M134" s="19">
        <f>C134-J134</f>
        <v/>
      </c>
      <c r="N134" s="19">
        <f>B134-M134</f>
        <v/>
      </c>
      <c r="O134" s="19">
        <f>J134+K134+L134</f>
        <v/>
      </c>
    </row>
    <row r="135" ht="15.75" customHeight="1">
      <c r="A135" s="27" t="n">
        <v>48283</v>
      </c>
      <c r="B135" s="19" t="n">
        <v>1056.64000000001</v>
      </c>
      <c r="C135" s="19">
        <f>ROUND(1056.64*I135, 2)</f>
        <v/>
      </c>
      <c r="D135" s="19" t="n"/>
      <c r="E135" s="19" t="n"/>
      <c r="F135" s="19" t="n"/>
      <c r="G135" s="19">
        <f>G134-M135+D135</f>
        <v/>
      </c>
      <c r="H135" s="19">
        <f>H134-M135</f>
        <v/>
      </c>
      <c r="I135" s="20" t="n">
        <v>1</v>
      </c>
      <c r="J135" s="19">
        <f>ROUND((G134)*0.009/12 +D135* F135*0.009/12, 2)</f>
        <v/>
      </c>
      <c r="K135" s="19" t="n"/>
      <c r="L135" s="28" t="n">
        <v>27.5600000000002</v>
      </c>
      <c r="M135" s="19">
        <f>C135-J135</f>
        <v/>
      </c>
      <c r="N135" s="19">
        <f>B135-M135</f>
        <v/>
      </c>
      <c r="O135" s="19">
        <f>J135+K135+L135</f>
        <v/>
      </c>
    </row>
    <row r="136" ht="15.75" customHeight="1">
      <c r="A136" s="27" t="n">
        <v>48314</v>
      </c>
      <c r="B136" s="19" t="n">
        <v>1056.64000000001</v>
      </c>
      <c r="C136" s="19">
        <f>ROUND(1056.64*I136, 2)</f>
        <v/>
      </c>
      <c r="D136" s="19" t="n"/>
      <c r="E136" s="19" t="n"/>
      <c r="F136" s="19" t="n"/>
      <c r="G136" s="19">
        <f>G135-M136+D136</f>
        <v/>
      </c>
      <c r="H136" s="19">
        <f>H135-M136</f>
        <v/>
      </c>
      <c r="I136" s="20" t="n">
        <v>1</v>
      </c>
      <c r="J136" s="19">
        <f>ROUND((G135)*0.009/12 +D136* F136*0.009/12, 2)</f>
        <v/>
      </c>
      <c r="K136" s="19" t="n"/>
      <c r="L136" s="28" t="n">
        <v>27.5600000000002</v>
      </c>
      <c r="M136" s="19">
        <f>C136-J136</f>
        <v/>
      </c>
      <c r="N136" s="19">
        <f>B136-M136</f>
        <v/>
      </c>
      <c r="O136" s="19">
        <f>J136+K136+L136</f>
        <v/>
      </c>
    </row>
    <row r="137" ht="15.75" customHeight="1">
      <c r="A137" s="27" t="n">
        <v>48344</v>
      </c>
      <c r="B137" s="19" t="n">
        <v>1056.64000000001</v>
      </c>
      <c r="C137" s="19">
        <f>ROUND(1056.64*I137, 2)</f>
        <v/>
      </c>
      <c r="D137" s="19" t="n"/>
      <c r="E137" s="19" t="n"/>
      <c r="F137" s="19" t="n"/>
      <c r="G137" s="19">
        <f>G136-M137+D137</f>
        <v/>
      </c>
      <c r="H137" s="19">
        <f>H136-M137</f>
        <v/>
      </c>
      <c r="I137" s="20" t="n">
        <v>1</v>
      </c>
      <c r="J137" s="19">
        <f>ROUND((G136)*0.009/12 +D137* F137*0.009/12, 2)</f>
        <v/>
      </c>
      <c r="K137" s="19" t="n"/>
      <c r="L137" s="28" t="n">
        <v>27.5600000000002</v>
      </c>
      <c r="M137" s="19">
        <f>C137-J137</f>
        <v/>
      </c>
      <c r="N137" s="19">
        <f>B137-M137</f>
        <v/>
      </c>
      <c r="O137" s="19">
        <f>J137+K137+L137</f>
        <v/>
      </c>
    </row>
    <row r="138" ht="15.75" customHeight="1">
      <c r="A138" s="27" t="n">
        <v>48375</v>
      </c>
      <c r="B138" s="19" t="n">
        <v>1056.64000000001</v>
      </c>
      <c r="C138" s="19">
        <f>ROUND(1056.64*I138, 2)</f>
        <v/>
      </c>
      <c r="D138" s="19" t="n"/>
      <c r="E138" s="19" t="n"/>
      <c r="F138" s="19" t="n"/>
      <c r="G138" s="19">
        <f>G137-M138+D138</f>
        <v/>
      </c>
      <c r="H138" s="19">
        <f>H137-M138</f>
        <v/>
      </c>
      <c r="I138" s="20" t="n">
        <v>1</v>
      </c>
      <c r="J138" s="19">
        <f>ROUND((G137)*0.009/12 +D138* F138*0.009/12, 2)</f>
        <v/>
      </c>
      <c r="K138" s="19" t="n"/>
      <c r="L138" s="28" t="n">
        <v>27.5600000000002</v>
      </c>
      <c r="M138" s="19">
        <f>C138-J138</f>
        <v/>
      </c>
      <c r="N138" s="19">
        <f>B138-M138</f>
        <v/>
      </c>
      <c r="O138" s="19">
        <f>J138+K138+L138</f>
        <v/>
      </c>
    </row>
    <row r="139" ht="15.75" customHeight="1">
      <c r="A139" s="27" t="n">
        <v>48405</v>
      </c>
      <c r="B139" s="19" t="n">
        <v>1056.64000000001</v>
      </c>
      <c r="C139" s="19">
        <f>ROUND(1056.64*I139, 2)</f>
        <v/>
      </c>
      <c r="D139" s="19" t="n"/>
      <c r="E139" s="19" t="n"/>
      <c r="F139" s="19" t="n"/>
      <c r="G139" s="19">
        <f>G138-M139+D139</f>
        <v/>
      </c>
      <c r="H139" s="19">
        <f>H138-M139</f>
        <v/>
      </c>
      <c r="I139" s="20" t="n">
        <v>1</v>
      </c>
      <c r="J139" s="19">
        <f>ROUND((G138)*0.009/12 +D139* F139*0.009/12, 2)</f>
        <v/>
      </c>
      <c r="K139" s="19" t="n"/>
      <c r="L139" s="28" t="n">
        <v>27.5600000000002</v>
      </c>
      <c r="M139" s="19">
        <f>C139-J139</f>
        <v/>
      </c>
      <c r="N139" s="19">
        <f>B139-M139</f>
        <v/>
      </c>
      <c r="O139" s="19">
        <f>J139+K139+L139</f>
        <v/>
      </c>
    </row>
    <row r="140" ht="15.75" customHeight="1">
      <c r="A140" s="27" t="n">
        <v>48436</v>
      </c>
      <c r="B140" s="19" t="n">
        <v>1056.64000000001</v>
      </c>
      <c r="C140" s="19">
        <f>ROUND(1056.64*I140, 2)</f>
        <v/>
      </c>
      <c r="D140" s="19" t="n"/>
      <c r="E140" s="19" t="n"/>
      <c r="F140" s="19" t="n"/>
      <c r="G140" s="19">
        <f>G139-M140+D140</f>
        <v/>
      </c>
      <c r="H140" s="19">
        <f>H139-M140</f>
        <v/>
      </c>
      <c r="I140" s="20" t="n">
        <v>1</v>
      </c>
      <c r="J140" s="19">
        <f>ROUND((G139)*0.009/12 +D140* F140*0.009/12, 2)</f>
        <v/>
      </c>
      <c r="K140" s="19" t="n"/>
      <c r="L140" s="28" t="n">
        <v>27.5600000000002</v>
      </c>
      <c r="M140" s="19">
        <f>C140-J140</f>
        <v/>
      </c>
      <c r="N140" s="19">
        <f>B140-M140</f>
        <v/>
      </c>
      <c r="O140" s="19">
        <f>J140+K140+L140</f>
        <v/>
      </c>
    </row>
    <row r="141" ht="15.75" customHeight="1">
      <c r="A141" s="27" t="n">
        <v>48467</v>
      </c>
      <c r="B141" s="19" t="n">
        <v>1056.64000000001</v>
      </c>
      <c r="C141" s="19">
        <f>ROUND(1056.64*I141, 2)</f>
        <v/>
      </c>
      <c r="D141" s="19" t="n"/>
      <c r="E141" s="19" t="n"/>
      <c r="F141" s="19" t="n"/>
      <c r="G141" s="19">
        <f>G140-M141+D141</f>
        <v/>
      </c>
      <c r="H141" s="19">
        <f>H140-M141</f>
        <v/>
      </c>
      <c r="I141" s="20" t="n">
        <v>1</v>
      </c>
      <c r="J141" s="19">
        <f>ROUND((G140)*0.009/12 +D141* F141*0.009/12, 2)</f>
        <v/>
      </c>
      <c r="K141" s="19" t="n"/>
      <c r="L141" s="28" t="n">
        <v>27.5600000000002</v>
      </c>
      <c r="M141" s="19">
        <f>C141-J141</f>
        <v/>
      </c>
      <c r="N141" s="19">
        <f>B141-M141</f>
        <v/>
      </c>
      <c r="O141" s="19">
        <f>J141+K141+L141</f>
        <v/>
      </c>
    </row>
    <row r="142" ht="15.75" customHeight="1">
      <c r="A142" s="27" t="n">
        <v>48497</v>
      </c>
      <c r="B142" s="19" t="n">
        <v>1056.64000000001</v>
      </c>
      <c r="C142" s="19">
        <f>ROUND(1056.64*I142, 2)</f>
        <v/>
      </c>
      <c r="D142" s="19" t="n"/>
      <c r="E142" s="19" t="n"/>
      <c r="F142" s="19" t="n"/>
      <c r="G142" s="19">
        <f>G141-M142+D142</f>
        <v/>
      </c>
      <c r="H142" s="19">
        <f>H141-M142</f>
        <v/>
      </c>
      <c r="I142" s="20" t="n">
        <v>1</v>
      </c>
      <c r="J142" s="19">
        <f>ROUND((G141)*0.009/12 +D142* F142*0.009/12, 2)</f>
        <v/>
      </c>
      <c r="K142" s="19" t="n"/>
      <c r="L142" s="28" t="n">
        <v>27.5600000000002</v>
      </c>
      <c r="M142" s="19">
        <f>C142-J142</f>
        <v/>
      </c>
      <c r="N142" s="19">
        <f>B142-M142</f>
        <v/>
      </c>
      <c r="O142" s="19">
        <f>J142+K142+L142</f>
        <v/>
      </c>
    </row>
    <row r="143" ht="15.75" customHeight="1">
      <c r="A143" s="27" t="n">
        <v>48528</v>
      </c>
      <c r="B143" s="19" t="n">
        <v>1056.64000000001</v>
      </c>
      <c r="C143" s="19">
        <f>ROUND(1056.64*I143, 2)</f>
        <v/>
      </c>
      <c r="D143" s="19" t="n"/>
      <c r="E143" s="19" t="n"/>
      <c r="F143" s="19" t="n"/>
      <c r="G143" s="19">
        <f>G142-M143+D143</f>
        <v/>
      </c>
      <c r="H143" s="19">
        <f>H142-M143</f>
        <v/>
      </c>
      <c r="I143" s="20" t="n">
        <v>1</v>
      </c>
      <c r="J143" s="19">
        <f>ROUND((G142)*0.009/12 +D143* F143*0.009/12, 2)</f>
        <v/>
      </c>
      <c r="K143" s="19" t="n"/>
      <c r="L143" s="28" t="n">
        <v>27.5600000000002</v>
      </c>
      <c r="M143" s="19">
        <f>C143-J143</f>
        <v/>
      </c>
      <c r="N143" s="19">
        <f>B143-M143</f>
        <v/>
      </c>
      <c r="O143" s="19">
        <f>J143+K143+L143</f>
        <v/>
      </c>
    </row>
    <row r="144" ht="15.75" customHeight="1">
      <c r="A144" s="27" t="n">
        <v>48558</v>
      </c>
      <c r="B144" s="19" t="n">
        <v>1056.64000000001</v>
      </c>
      <c r="C144" s="19">
        <f>ROUND(1056.64*I144, 2)</f>
        <v/>
      </c>
      <c r="D144" s="19" t="n"/>
      <c r="E144" s="19" t="n"/>
      <c r="F144" s="19" t="n"/>
      <c r="G144" s="19">
        <f>G143-M144+D144</f>
        <v/>
      </c>
      <c r="H144" s="19">
        <f>H143-M144</f>
        <v/>
      </c>
      <c r="I144" s="20" t="n">
        <v>1</v>
      </c>
      <c r="J144" s="19">
        <f>ROUND((G143)*0.009/12 +D144* F144*0.009/12, 2)</f>
        <v/>
      </c>
      <c r="K144" s="19" t="n"/>
      <c r="L144" s="28" t="n">
        <v>27.5600000000002</v>
      </c>
      <c r="M144" s="19">
        <f>C144-J144</f>
        <v/>
      </c>
      <c r="N144" s="19">
        <f>B144-M144</f>
        <v/>
      </c>
      <c r="O144" s="19">
        <f>J144+K144+L144</f>
        <v/>
      </c>
    </row>
    <row r="145" ht="15.75" customHeight="1">
      <c r="A145" s="27" t="n">
        <v>48589</v>
      </c>
      <c r="B145" s="19" t="n">
        <v>1056.64000000001</v>
      </c>
      <c r="C145" s="19">
        <f>ROUND(1056.64*I145, 2)</f>
        <v/>
      </c>
      <c r="D145" s="19" t="n"/>
      <c r="E145" s="19" t="n"/>
      <c r="F145" s="19" t="n"/>
      <c r="G145" s="19">
        <f>G144-M145+D145</f>
        <v/>
      </c>
      <c r="H145" s="19">
        <f>H144-M145</f>
        <v/>
      </c>
      <c r="I145" s="20" t="n">
        <v>1</v>
      </c>
      <c r="J145" s="19">
        <f>ROUND((G144)*0.009/12 +D145* F145*0.009/12, 2)</f>
        <v/>
      </c>
      <c r="K145" s="19" t="n"/>
      <c r="L145" s="28" t="n">
        <v>27.5600000000002</v>
      </c>
      <c r="M145" s="19">
        <f>C145-J145</f>
        <v/>
      </c>
      <c r="N145" s="19">
        <f>B145-M145</f>
        <v/>
      </c>
      <c r="O145" s="19">
        <f>J145+K145+L145</f>
        <v/>
      </c>
    </row>
    <row r="146" ht="15.75" customHeight="1">
      <c r="A146" s="27" t="n">
        <v>48620</v>
      </c>
      <c r="B146" s="19" t="n">
        <v>1056.64000000001</v>
      </c>
      <c r="C146" s="19">
        <f>ROUND(1056.64*I146, 2)</f>
        <v/>
      </c>
      <c r="D146" s="19" t="n"/>
      <c r="E146" s="19" t="n"/>
      <c r="F146" s="19" t="n"/>
      <c r="G146" s="19">
        <f>G145-M146+D146</f>
        <v/>
      </c>
      <c r="H146" s="19">
        <f>H145-M146</f>
        <v/>
      </c>
      <c r="I146" s="20" t="n">
        <v>1</v>
      </c>
      <c r="J146" s="19">
        <f>ROUND((G145)*0.009/12 +D146* F146*0.009/12, 2)</f>
        <v/>
      </c>
      <c r="K146" s="19" t="n"/>
      <c r="L146" s="28" t="n">
        <v>27.5600000000002</v>
      </c>
      <c r="M146" s="19">
        <f>C146-J146</f>
        <v/>
      </c>
      <c r="N146" s="19">
        <f>B146-M146</f>
        <v/>
      </c>
      <c r="O146" s="19">
        <f>J146+K146+L146</f>
        <v/>
      </c>
    </row>
    <row r="147" ht="15.75" customHeight="1">
      <c r="A147" s="27" t="n">
        <v>48648</v>
      </c>
      <c r="B147" s="19" t="n">
        <v>1056.64000000001</v>
      </c>
      <c r="C147" s="19">
        <f>ROUND(1056.64*I147, 2)</f>
        <v/>
      </c>
      <c r="D147" s="19" t="n"/>
      <c r="E147" s="19" t="n"/>
      <c r="F147" s="19" t="n"/>
      <c r="G147" s="19">
        <f>G146-M147+D147</f>
        <v/>
      </c>
      <c r="H147" s="19">
        <f>H146-M147</f>
        <v/>
      </c>
      <c r="I147" s="20" t="n">
        <v>1</v>
      </c>
      <c r="J147" s="19">
        <f>ROUND((G146)*0.009/12 +D147* F147*0.009/12, 2)</f>
        <v/>
      </c>
      <c r="K147" s="19" t="n"/>
      <c r="L147" s="28" t="n">
        <v>27.5600000000002</v>
      </c>
      <c r="M147" s="19">
        <f>C147-J147</f>
        <v/>
      </c>
      <c r="N147" s="19">
        <f>B147-M147</f>
        <v/>
      </c>
      <c r="O147" s="19">
        <f>J147+K147+L147</f>
        <v/>
      </c>
    </row>
    <row r="148" ht="15.75" customHeight="1">
      <c r="A148" s="27" t="n">
        <v>48679</v>
      </c>
      <c r="B148" s="19" t="n">
        <v>1056.64000000001</v>
      </c>
      <c r="C148" s="19">
        <f>ROUND(1056.64*I148, 2)</f>
        <v/>
      </c>
      <c r="D148" s="19" t="n"/>
      <c r="E148" s="19" t="n"/>
      <c r="F148" s="19" t="n"/>
      <c r="G148" s="19">
        <f>G147-M148+D148</f>
        <v/>
      </c>
      <c r="H148" s="19">
        <f>H147-M148</f>
        <v/>
      </c>
      <c r="I148" s="20" t="n">
        <v>1</v>
      </c>
      <c r="J148" s="19">
        <f>ROUND((G147)*0.009/12 +D148* F148*0.009/12, 2)</f>
        <v/>
      </c>
      <c r="K148" s="19" t="n"/>
      <c r="L148" s="28" t="n">
        <v>27.5600000000002</v>
      </c>
      <c r="M148" s="19">
        <f>C148-J148</f>
        <v/>
      </c>
      <c r="N148" s="19">
        <f>B148-M148</f>
        <v/>
      </c>
      <c r="O148" s="19">
        <f>J148+K148+L148</f>
        <v/>
      </c>
    </row>
    <row r="149" ht="15.75" customHeight="1">
      <c r="A149" s="27" t="n">
        <v>48709</v>
      </c>
      <c r="B149" s="19" t="n">
        <v>1056.64000000001</v>
      </c>
      <c r="C149" s="19">
        <f>ROUND(1056.64*I149, 2)</f>
        <v/>
      </c>
      <c r="D149" s="19" t="n"/>
      <c r="E149" s="19" t="n"/>
      <c r="F149" s="19" t="n"/>
      <c r="G149" s="19">
        <f>G148-M149+D149</f>
        <v/>
      </c>
      <c r="H149" s="19">
        <f>H148-M149</f>
        <v/>
      </c>
      <c r="I149" s="20" t="n">
        <v>1</v>
      </c>
      <c r="J149" s="19">
        <f>ROUND((G148)*0.009/12 +D149* F149*0.009/12, 2)</f>
        <v/>
      </c>
      <c r="K149" s="19" t="n"/>
      <c r="L149" s="28" t="n">
        <v>27.5600000000002</v>
      </c>
      <c r="M149" s="19">
        <f>C149-J149</f>
        <v/>
      </c>
      <c r="N149" s="19">
        <f>B149-M149</f>
        <v/>
      </c>
      <c r="O149" s="19">
        <f>J149+K149+L149</f>
        <v/>
      </c>
    </row>
    <row r="150" ht="15.75" customHeight="1">
      <c r="A150" s="27" t="n">
        <v>48740</v>
      </c>
      <c r="B150" s="19" t="n">
        <v>1056.64000000001</v>
      </c>
      <c r="C150" s="19">
        <f>ROUND(1056.64*I150, 2)</f>
        <v/>
      </c>
      <c r="D150" s="19" t="n"/>
      <c r="E150" s="19" t="n"/>
      <c r="F150" s="19" t="n"/>
      <c r="G150" s="19">
        <f>G149-M150+D150</f>
        <v/>
      </c>
      <c r="H150" s="19">
        <f>H149-M150</f>
        <v/>
      </c>
      <c r="I150" s="20" t="n">
        <v>1</v>
      </c>
      <c r="J150" s="19">
        <f>ROUND((G149)*0.009/12 +D150* F150*0.009/12, 2)</f>
        <v/>
      </c>
      <c r="K150" s="19" t="n"/>
      <c r="L150" s="28" t="n">
        <v>27.5600000000002</v>
      </c>
      <c r="M150" s="19">
        <f>C150-J150</f>
        <v/>
      </c>
      <c r="N150" s="19">
        <f>B150-M150</f>
        <v/>
      </c>
      <c r="O150" s="19">
        <f>J150+K150+L150</f>
        <v/>
      </c>
    </row>
    <row r="151" ht="15.75" customHeight="1">
      <c r="A151" s="27" t="n">
        <v>48770</v>
      </c>
      <c r="B151" s="19" t="n">
        <v>1056.64000000001</v>
      </c>
      <c r="C151" s="19">
        <f>ROUND(1056.64*I151, 2)</f>
        <v/>
      </c>
      <c r="D151" s="19" t="n"/>
      <c r="E151" s="19" t="n"/>
      <c r="F151" s="19" t="n"/>
      <c r="G151" s="19">
        <f>G150-M151+D151</f>
        <v/>
      </c>
      <c r="H151" s="19">
        <f>H150-M151</f>
        <v/>
      </c>
      <c r="I151" s="20" t="n">
        <v>1</v>
      </c>
      <c r="J151" s="19">
        <f>ROUND((G150)*0.009/12 +D151* F151*0.009/12, 2)</f>
        <v/>
      </c>
      <c r="K151" s="19" t="n"/>
      <c r="L151" s="28" t="n">
        <v>27.5600000000002</v>
      </c>
      <c r="M151" s="19">
        <f>C151-J151</f>
        <v/>
      </c>
      <c r="N151" s="19">
        <f>B151-M151</f>
        <v/>
      </c>
      <c r="O151" s="19">
        <f>J151+K151+L151</f>
        <v/>
      </c>
    </row>
    <row r="152" ht="15.75" customHeight="1">
      <c r="A152" s="27" t="n">
        <v>48801</v>
      </c>
      <c r="B152" s="19" t="n">
        <v>1056.64000000001</v>
      </c>
      <c r="C152" s="19">
        <f>ROUND(1056.64*I152, 2)</f>
        <v/>
      </c>
      <c r="D152" s="19" t="n"/>
      <c r="E152" s="19" t="n"/>
      <c r="F152" s="19" t="n"/>
      <c r="G152" s="19">
        <f>G151-M152+D152</f>
        <v/>
      </c>
      <c r="H152" s="19">
        <f>H151-M152</f>
        <v/>
      </c>
      <c r="I152" s="20" t="n">
        <v>1</v>
      </c>
      <c r="J152" s="19">
        <f>ROUND((G151)*0.009/12 +D152* F152*0.009/12, 2)</f>
        <v/>
      </c>
      <c r="K152" s="19" t="n"/>
      <c r="L152" s="28" t="n">
        <v>27.5600000000002</v>
      </c>
      <c r="M152" s="19">
        <f>C152-J152</f>
        <v/>
      </c>
      <c r="N152" s="19">
        <f>B152-M152</f>
        <v/>
      </c>
      <c r="O152" s="19">
        <f>J152+K152+L152</f>
        <v/>
      </c>
    </row>
    <row r="153" ht="15.75" customHeight="1">
      <c r="A153" s="27" t="n">
        <v>48832</v>
      </c>
      <c r="B153" s="19" t="n">
        <v>1056.64000000001</v>
      </c>
      <c r="C153" s="19">
        <f>ROUND(1056.64*I153, 2)</f>
        <v/>
      </c>
      <c r="D153" s="19" t="n"/>
      <c r="E153" s="19" t="n"/>
      <c r="F153" s="19" t="n"/>
      <c r="G153" s="19">
        <f>G152-M153+D153</f>
        <v/>
      </c>
      <c r="H153" s="19">
        <f>H152-M153</f>
        <v/>
      </c>
      <c r="I153" s="20" t="n">
        <v>1</v>
      </c>
      <c r="J153" s="19">
        <f>ROUND((G152)*0.009/12 +D153* F153*0.009/12, 2)</f>
        <v/>
      </c>
      <c r="K153" s="19" t="n"/>
      <c r="L153" s="28" t="n">
        <v>27.5600000000002</v>
      </c>
      <c r="M153" s="19">
        <f>C153-J153</f>
        <v/>
      </c>
      <c r="N153" s="19">
        <f>B153-M153</f>
        <v/>
      </c>
      <c r="O153" s="19">
        <f>J153+K153+L153</f>
        <v/>
      </c>
    </row>
    <row r="154" ht="15.75" customHeight="1">
      <c r="A154" s="27" t="n">
        <v>48862</v>
      </c>
      <c r="B154" s="19" t="n">
        <v>1056.64000000001</v>
      </c>
      <c r="C154" s="19">
        <f>ROUND(1056.64*I154, 2)</f>
        <v/>
      </c>
      <c r="D154" s="19" t="n"/>
      <c r="E154" s="19" t="n"/>
      <c r="F154" s="19" t="n"/>
      <c r="G154" s="19">
        <f>G153-M154+D154</f>
        <v/>
      </c>
      <c r="H154" s="19">
        <f>H153-M154</f>
        <v/>
      </c>
      <c r="I154" s="20" t="n">
        <v>1</v>
      </c>
      <c r="J154" s="19">
        <f>ROUND((G153)*0.009/12 +D154* F154*0.009/12, 2)</f>
        <v/>
      </c>
      <c r="K154" s="19" t="n"/>
      <c r="L154" s="28" t="n">
        <v>27.5600000000002</v>
      </c>
      <c r="M154" s="19">
        <f>C154-J154</f>
        <v/>
      </c>
      <c r="N154" s="19">
        <f>B154-M154</f>
        <v/>
      </c>
      <c r="O154" s="19">
        <f>J154+K154+L154</f>
        <v/>
      </c>
    </row>
    <row r="155" ht="15.75" customHeight="1">
      <c r="A155" s="27" t="n">
        <v>48893</v>
      </c>
      <c r="B155" s="19" t="n">
        <v>1056.64000000001</v>
      </c>
      <c r="C155" s="19">
        <f>ROUND(1056.64*I155, 2)</f>
        <v/>
      </c>
      <c r="D155" s="19" t="n"/>
      <c r="E155" s="19" t="n"/>
      <c r="F155" s="19" t="n"/>
      <c r="G155" s="19">
        <f>G154-M155+D155</f>
        <v/>
      </c>
      <c r="H155" s="19">
        <f>H154-M155</f>
        <v/>
      </c>
      <c r="I155" s="20" t="n">
        <v>1</v>
      </c>
      <c r="J155" s="19">
        <f>ROUND((G154)*0.009/12 +D155* F155*0.009/12, 2)</f>
        <v/>
      </c>
      <c r="K155" s="19" t="n"/>
      <c r="L155" s="28" t="n">
        <v>27.5600000000002</v>
      </c>
      <c r="M155" s="19">
        <f>C155-J155</f>
        <v/>
      </c>
      <c r="N155" s="19">
        <f>B155-M155</f>
        <v/>
      </c>
      <c r="O155" s="19">
        <f>J155+K155+L155</f>
        <v/>
      </c>
    </row>
    <row r="156" ht="15.75" customHeight="1">
      <c r="A156" s="27" t="n">
        <v>48923</v>
      </c>
      <c r="B156" s="19" t="n">
        <v>1056.64000000001</v>
      </c>
      <c r="C156" s="19">
        <f>ROUND(1056.64*I156, 2)</f>
        <v/>
      </c>
      <c r="D156" s="19" t="n"/>
      <c r="E156" s="19" t="n"/>
      <c r="F156" s="19" t="n"/>
      <c r="G156" s="19">
        <f>G155-M156+D156</f>
        <v/>
      </c>
      <c r="H156" s="19">
        <f>H155-M156</f>
        <v/>
      </c>
      <c r="I156" s="20" t="n">
        <v>1</v>
      </c>
      <c r="J156" s="19">
        <f>ROUND((G155)*0.009/12 +D156* F156*0.009/12, 2)</f>
        <v/>
      </c>
      <c r="K156" s="19" t="n"/>
      <c r="L156" s="28" t="n">
        <v>27.5600000000002</v>
      </c>
      <c r="M156" s="19">
        <f>C156-J156</f>
        <v/>
      </c>
      <c r="N156" s="19">
        <f>B156-M156</f>
        <v/>
      </c>
      <c r="O156" s="19">
        <f>J156+K156+L156</f>
        <v/>
      </c>
    </row>
    <row r="157" ht="15.75" customHeight="1">
      <c r="A157" s="27" t="n">
        <v>48954</v>
      </c>
      <c r="B157" s="19" t="n">
        <v>1056.64000000001</v>
      </c>
      <c r="C157" s="19">
        <f>ROUND(1056.64*I157, 2)</f>
        <v/>
      </c>
      <c r="D157" s="19" t="n"/>
      <c r="E157" s="19" t="n"/>
      <c r="F157" s="19" t="n"/>
      <c r="G157" s="19">
        <f>G156-M157+D157</f>
        <v/>
      </c>
      <c r="H157" s="19">
        <f>H156-M157</f>
        <v/>
      </c>
      <c r="I157" s="20" t="n">
        <v>1</v>
      </c>
      <c r="J157" s="19">
        <f>ROUND((G156)*0.009/12 +D157* F157*0.009/12, 2)</f>
        <v/>
      </c>
      <c r="K157" s="19" t="n"/>
      <c r="L157" s="28" t="n">
        <v>27.5600000000002</v>
      </c>
      <c r="M157" s="19">
        <f>C157-J157</f>
        <v/>
      </c>
      <c r="N157" s="19">
        <f>B157-M157</f>
        <v/>
      </c>
      <c r="O157" s="19">
        <f>J157+K157+L157</f>
        <v/>
      </c>
    </row>
    <row r="158" ht="15.75" customHeight="1">
      <c r="A158" s="27" t="n">
        <v>48985</v>
      </c>
      <c r="B158" s="19" t="n">
        <v>1056.64000000001</v>
      </c>
      <c r="C158" s="19">
        <f>ROUND(1056.64*I158, 2)</f>
        <v/>
      </c>
      <c r="D158" s="19" t="n"/>
      <c r="E158" s="19" t="n"/>
      <c r="F158" s="19" t="n"/>
      <c r="G158" s="19">
        <f>G157-M158+D158</f>
        <v/>
      </c>
      <c r="H158" s="19">
        <f>H157-M158</f>
        <v/>
      </c>
      <c r="I158" s="20" t="n">
        <v>1</v>
      </c>
      <c r="J158" s="19">
        <f>ROUND((G157)*0.009/12 +D158* F158*0.009/12, 2)</f>
        <v/>
      </c>
      <c r="K158" s="19" t="n"/>
      <c r="L158" s="28" t="n">
        <v>27.5600000000002</v>
      </c>
      <c r="M158" s="19">
        <f>C158-J158</f>
        <v/>
      </c>
      <c r="N158" s="19">
        <f>B158-M158</f>
        <v/>
      </c>
      <c r="O158" s="19">
        <f>J158+K158+L158</f>
        <v/>
      </c>
    </row>
    <row r="159" ht="15.75" customHeight="1">
      <c r="A159" s="27" t="n">
        <v>49013</v>
      </c>
      <c r="B159" s="19" t="n">
        <v>1056.64000000002</v>
      </c>
      <c r="C159" s="19">
        <f>ROUND(1056.64*I159, 2)</f>
        <v/>
      </c>
      <c r="D159" s="19" t="n"/>
      <c r="E159" s="19" t="n"/>
      <c r="F159" s="19" t="n"/>
      <c r="G159" s="19">
        <f>G158-M159+D159</f>
        <v/>
      </c>
      <c r="H159" s="19">
        <f>H158-M159</f>
        <v/>
      </c>
      <c r="I159" s="20" t="n">
        <v>1</v>
      </c>
      <c r="J159" s="19">
        <f>ROUND((G158)*0.009/12 +D159* F159*0.009/12, 2)</f>
        <v/>
      </c>
      <c r="K159" s="19" t="n"/>
      <c r="L159" s="28" t="n">
        <v>27.5600000000002</v>
      </c>
      <c r="M159" s="19">
        <f>C159-J159</f>
        <v/>
      </c>
      <c r="N159" s="19">
        <f>B159-M159</f>
        <v/>
      </c>
      <c r="O159" s="19">
        <f>J159+K159+L159</f>
        <v/>
      </c>
    </row>
    <row r="160" ht="15.75" customHeight="1">
      <c r="A160" s="27" t="n">
        <v>49044</v>
      </c>
      <c r="B160" s="19" t="n">
        <v>1056.64000000002</v>
      </c>
      <c r="C160" s="19">
        <f>ROUND(1056.64*I160, 2)</f>
        <v/>
      </c>
      <c r="D160" s="19" t="n"/>
      <c r="E160" s="19" t="n"/>
      <c r="F160" s="19" t="n"/>
      <c r="G160" s="19">
        <f>G159-M160+D160</f>
        <v/>
      </c>
      <c r="H160" s="19">
        <f>H159-M160</f>
        <v/>
      </c>
      <c r="I160" s="20" t="n">
        <v>1</v>
      </c>
      <c r="J160" s="19">
        <f>ROUND((G159)*0.009/12 +D160* F160*0.009/12, 2)</f>
        <v/>
      </c>
      <c r="K160" s="19" t="n"/>
      <c r="L160" s="28" t="n">
        <v>27.5600000000002</v>
      </c>
      <c r="M160" s="19">
        <f>C160-J160</f>
        <v/>
      </c>
      <c r="N160" s="19">
        <f>B160-M160</f>
        <v/>
      </c>
      <c r="O160" s="19">
        <f>J160+K160+L160</f>
        <v/>
      </c>
    </row>
    <row r="161" ht="15.75" customHeight="1">
      <c r="A161" s="27" t="n">
        <v>49074</v>
      </c>
      <c r="B161" s="19" t="n">
        <v>1056.64000000002</v>
      </c>
      <c r="C161" s="19">
        <f>ROUND(1056.64*I161, 2)</f>
        <v/>
      </c>
      <c r="D161" s="19" t="n"/>
      <c r="E161" s="19" t="n"/>
      <c r="F161" s="19" t="n"/>
      <c r="G161" s="19">
        <f>G160-M161+D161</f>
        <v/>
      </c>
      <c r="H161" s="19">
        <f>H160-M161</f>
        <v/>
      </c>
      <c r="I161" s="20" t="n">
        <v>1</v>
      </c>
      <c r="J161" s="19">
        <f>ROUND((G160)*0.009/12 +D161* F161*0.009/12, 2)</f>
        <v/>
      </c>
      <c r="K161" s="19" t="n"/>
      <c r="L161" s="28" t="n">
        <v>27.5600000000002</v>
      </c>
      <c r="M161" s="19">
        <f>C161-J161</f>
        <v/>
      </c>
      <c r="N161" s="19">
        <f>B161-M161</f>
        <v/>
      </c>
      <c r="O161" s="19">
        <f>J161+K161+L161</f>
        <v/>
      </c>
    </row>
    <row r="162" ht="15.75" customHeight="1">
      <c r="A162" s="27" t="n">
        <v>49105</v>
      </c>
      <c r="B162" s="19" t="n">
        <v>1056.64000000001</v>
      </c>
      <c r="C162" s="19">
        <f>ROUND(1056.64*I162, 2)</f>
        <v/>
      </c>
      <c r="D162" s="19" t="n"/>
      <c r="E162" s="19" t="n"/>
      <c r="F162" s="19" t="n"/>
      <c r="G162" s="19">
        <f>G161-M162+D162</f>
        <v/>
      </c>
      <c r="H162" s="19">
        <f>H161-M162</f>
        <v/>
      </c>
      <c r="I162" s="20" t="n">
        <v>1</v>
      </c>
      <c r="J162" s="19">
        <f>ROUND((G161)*0.009/12 +D162* F162*0.009/12, 2)</f>
        <v/>
      </c>
      <c r="K162" s="19" t="n"/>
      <c r="L162" s="28" t="n">
        <v>27.5600000000001</v>
      </c>
      <c r="M162" s="19">
        <f>C162-J162</f>
        <v/>
      </c>
      <c r="N162" s="19">
        <f>B162-M162</f>
        <v/>
      </c>
      <c r="O162" s="19">
        <f>J162+K162+L162</f>
        <v/>
      </c>
    </row>
    <row r="163" ht="15.75" customHeight="1">
      <c r="A163" s="27" t="n">
        <v>49135</v>
      </c>
      <c r="B163" s="19" t="n">
        <v>1056.64000000001</v>
      </c>
      <c r="C163" s="19">
        <f>ROUND(1056.64*I163, 2)</f>
        <v/>
      </c>
      <c r="D163" s="19" t="n"/>
      <c r="E163" s="19" t="n"/>
      <c r="F163" s="19" t="n"/>
      <c r="G163" s="19">
        <f>G162-M163+D163</f>
        <v/>
      </c>
      <c r="H163" s="19">
        <f>H162-M163</f>
        <v/>
      </c>
      <c r="I163" s="20" t="n">
        <v>1</v>
      </c>
      <c r="J163" s="19">
        <f>ROUND((G162)*0.009/12 +D163* F163*0.009/12, 2)</f>
        <v/>
      </c>
      <c r="K163" s="19" t="n"/>
      <c r="L163" s="28" t="n">
        <v>27.5600000000001</v>
      </c>
      <c r="M163" s="19">
        <f>C163-J163</f>
        <v/>
      </c>
      <c r="N163" s="19">
        <f>B163-M163</f>
        <v/>
      </c>
      <c r="O163" s="19">
        <f>J163+K163+L163</f>
        <v/>
      </c>
    </row>
    <row r="164" ht="15.75" customHeight="1">
      <c r="A164" s="27" t="n">
        <v>49166</v>
      </c>
      <c r="B164" s="19" t="n">
        <v>1056.64000000001</v>
      </c>
      <c r="C164" s="19">
        <f>ROUND(1056.64*I164, 2)</f>
        <v/>
      </c>
      <c r="D164" s="19" t="n"/>
      <c r="E164" s="19" t="n"/>
      <c r="F164" s="19" t="n"/>
      <c r="G164" s="19">
        <f>G163-M164+D164</f>
        <v/>
      </c>
      <c r="H164" s="19">
        <f>H163-M164</f>
        <v/>
      </c>
      <c r="I164" s="20" t="n">
        <v>1</v>
      </c>
      <c r="J164" s="19">
        <f>ROUND((G163)*0.009/12 +D164* F164*0.009/12, 2)</f>
        <v/>
      </c>
      <c r="K164" s="19" t="n"/>
      <c r="L164" s="28" t="n">
        <v>27.5600000000001</v>
      </c>
      <c r="M164" s="19">
        <f>C164-J164</f>
        <v/>
      </c>
      <c r="N164" s="19">
        <f>B164-M164</f>
        <v/>
      </c>
      <c r="O164" s="19">
        <f>J164+K164+L164</f>
        <v/>
      </c>
    </row>
    <row r="165" ht="15.75" customHeight="1">
      <c r="A165" s="27" t="n">
        <v>49197</v>
      </c>
      <c r="B165" s="19" t="n">
        <v>1056.64000000001</v>
      </c>
      <c r="C165" s="19">
        <f>ROUND(1056.64*I165, 2)</f>
        <v/>
      </c>
      <c r="D165" s="19" t="n"/>
      <c r="E165" s="19" t="n"/>
      <c r="F165" s="19" t="n"/>
      <c r="G165" s="19">
        <f>G164-M165+D165</f>
        <v/>
      </c>
      <c r="H165" s="19">
        <f>H164-M165</f>
        <v/>
      </c>
      <c r="I165" s="20" t="n">
        <v>1</v>
      </c>
      <c r="J165" s="19">
        <f>ROUND((G164)*0.009/12 +D165* F165*0.009/12, 2)</f>
        <v/>
      </c>
      <c r="K165" s="19" t="n"/>
      <c r="L165" s="28" t="n">
        <v>27.5600000000001</v>
      </c>
      <c r="M165" s="19">
        <f>C165-J165</f>
        <v/>
      </c>
      <c r="N165" s="19">
        <f>B165-M165</f>
        <v/>
      </c>
      <c r="O165" s="19">
        <f>J165+K165+L165</f>
        <v/>
      </c>
    </row>
    <row r="166" ht="15.75" customHeight="1">
      <c r="A166" s="27" t="n">
        <v>49227</v>
      </c>
      <c r="B166" s="19" t="n">
        <v>1056.64000000001</v>
      </c>
      <c r="C166" s="19">
        <f>ROUND(1056.64*I166, 2)</f>
        <v/>
      </c>
      <c r="D166" s="19" t="n"/>
      <c r="E166" s="19" t="n"/>
      <c r="F166" s="19" t="n"/>
      <c r="G166" s="19">
        <f>G165-M166+D166</f>
        <v/>
      </c>
      <c r="H166" s="19">
        <f>H165-M166</f>
        <v/>
      </c>
      <c r="I166" s="20" t="n">
        <v>1</v>
      </c>
      <c r="J166" s="19">
        <f>ROUND((G165)*0.009/12 +D166* F166*0.009/12, 2)</f>
        <v/>
      </c>
      <c r="K166" s="19" t="n"/>
      <c r="L166" s="28" t="n">
        <v>27.5600000000001</v>
      </c>
      <c r="M166" s="19">
        <f>C166-J166</f>
        <v/>
      </c>
      <c r="N166" s="19">
        <f>B166-M166</f>
        <v/>
      </c>
      <c r="O166" s="19">
        <f>J166+K166+L166</f>
        <v/>
      </c>
    </row>
    <row r="167" ht="15.75" customHeight="1">
      <c r="A167" s="27" t="n">
        <v>49258</v>
      </c>
      <c r="B167" s="19" t="n">
        <v>1056.64000000001</v>
      </c>
      <c r="C167" s="19">
        <f>ROUND(1056.64*I167, 2)</f>
        <v/>
      </c>
      <c r="D167" s="19" t="n"/>
      <c r="E167" s="19" t="n"/>
      <c r="F167" s="19" t="n"/>
      <c r="G167" s="19">
        <f>G166-M167+D167</f>
        <v/>
      </c>
      <c r="H167" s="19">
        <f>H166-M167</f>
        <v/>
      </c>
      <c r="I167" s="20" t="n">
        <v>1</v>
      </c>
      <c r="J167" s="19">
        <f>ROUND((G166)*0.009/12 +D167* F167*0.009/12, 2)</f>
        <v/>
      </c>
      <c r="K167" s="19" t="n"/>
      <c r="L167" s="28" t="n">
        <v>27.5600000000001</v>
      </c>
      <c r="M167" s="19">
        <f>C167-J167</f>
        <v/>
      </c>
      <c r="N167" s="19">
        <f>B167-M167</f>
        <v/>
      </c>
      <c r="O167" s="19">
        <f>J167+K167+L167</f>
        <v/>
      </c>
    </row>
    <row r="168" ht="15.75" customHeight="1">
      <c r="A168" s="27" t="n">
        <v>49288</v>
      </c>
      <c r="B168" s="19" t="n">
        <v>1056.64000000001</v>
      </c>
      <c r="C168" s="19">
        <f>ROUND(1056.64*I168, 2)</f>
        <v/>
      </c>
      <c r="D168" s="19" t="n"/>
      <c r="E168" s="19" t="n"/>
      <c r="F168" s="19" t="n"/>
      <c r="G168" s="19">
        <f>G167-M168+D168</f>
        <v/>
      </c>
      <c r="H168" s="19">
        <f>H167-M168</f>
        <v/>
      </c>
      <c r="I168" s="20" t="n">
        <v>1</v>
      </c>
      <c r="J168" s="19">
        <f>ROUND((G167)*0.009/12 +D168* F168*0.009/12, 2)</f>
        <v/>
      </c>
      <c r="K168" s="19" t="n"/>
      <c r="L168" s="28" t="n">
        <v>27.5600000000001</v>
      </c>
      <c r="M168" s="19">
        <f>C168-J168</f>
        <v/>
      </c>
      <c r="N168" s="19">
        <f>B168-M168</f>
        <v/>
      </c>
      <c r="O168" s="19">
        <f>J168+K168+L168</f>
        <v/>
      </c>
    </row>
    <row r="169" ht="15.75" customHeight="1">
      <c r="A169" s="27" t="n">
        <v>49319</v>
      </c>
      <c r="B169" s="19" t="n">
        <v>1056.64000000001</v>
      </c>
      <c r="C169" s="19">
        <f>ROUND(1056.64*I169, 2)</f>
        <v/>
      </c>
      <c r="D169" s="19" t="n"/>
      <c r="E169" s="19" t="n"/>
      <c r="F169" s="19" t="n"/>
      <c r="G169" s="19">
        <f>G168-M169+D169</f>
        <v/>
      </c>
      <c r="H169" s="19">
        <f>H168-M169</f>
        <v/>
      </c>
      <c r="I169" s="20" t="n">
        <v>1</v>
      </c>
      <c r="J169" s="19">
        <f>ROUND((G168)*0.009/12 +D169* F169*0.009/12, 2)</f>
        <v/>
      </c>
      <c r="K169" s="19" t="n"/>
      <c r="L169" s="28" t="n">
        <v>27.5600000000001</v>
      </c>
      <c r="M169" s="19">
        <f>C169-J169</f>
        <v/>
      </c>
      <c r="N169" s="19">
        <f>B169-M169</f>
        <v/>
      </c>
      <c r="O169" s="19">
        <f>J169+K169+L169</f>
        <v/>
      </c>
    </row>
    <row r="170" ht="15.75" customHeight="1">
      <c r="A170" s="27" t="n">
        <v>49350</v>
      </c>
      <c r="B170" s="19" t="n">
        <v>1056.64000000001</v>
      </c>
      <c r="C170" s="19">
        <f>ROUND(1056.64*I170, 2)</f>
        <v/>
      </c>
      <c r="D170" s="19" t="n"/>
      <c r="E170" s="19" t="n"/>
      <c r="F170" s="19" t="n"/>
      <c r="G170" s="19">
        <f>G169-M170+D170</f>
        <v/>
      </c>
      <c r="H170" s="19">
        <f>H169-M170</f>
        <v/>
      </c>
      <c r="I170" s="20" t="n">
        <v>1</v>
      </c>
      <c r="J170" s="19">
        <f>ROUND((G169)*0.009/12 +D170* F170*0.009/12, 2)</f>
        <v/>
      </c>
      <c r="K170" s="19" t="n"/>
      <c r="L170" s="28" t="n">
        <v>27.5600000000001</v>
      </c>
      <c r="M170" s="19">
        <f>C170-J170</f>
        <v/>
      </c>
      <c r="N170" s="19">
        <f>B170-M170</f>
        <v/>
      </c>
      <c r="O170" s="19">
        <f>J170+K170+L170</f>
        <v/>
      </c>
    </row>
    <row r="171" ht="15.75" customHeight="1">
      <c r="A171" s="27" t="n">
        <v>49378</v>
      </c>
      <c r="B171" s="19" t="n">
        <v>1056.64000000001</v>
      </c>
      <c r="C171" s="19">
        <f>ROUND(1056.64*I171, 2)</f>
        <v/>
      </c>
      <c r="D171" s="19" t="n"/>
      <c r="E171" s="19" t="n"/>
      <c r="F171" s="19" t="n"/>
      <c r="G171" s="19">
        <f>G170-M171+D171</f>
        <v/>
      </c>
      <c r="H171" s="19">
        <f>H170-M171</f>
        <v/>
      </c>
      <c r="I171" s="20" t="n">
        <v>1</v>
      </c>
      <c r="J171" s="19">
        <f>ROUND((G170)*0.009/12 +D171* F171*0.009/12, 2)</f>
        <v/>
      </c>
      <c r="K171" s="19" t="n"/>
      <c r="L171" s="28" t="n">
        <v>27.5600000000001</v>
      </c>
      <c r="M171" s="19">
        <f>C171-J171</f>
        <v/>
      </c>
      <c r="N171" s="19">
        <f>B171-M171</f>
        <v/>
      </c>
      <c r="O171" s="19">
        <f>J171+K171+L171</f>
        <v/>
      </c>
    </row>
    <row r="172" ht="15.75" customHeight="1">
      <c r="A172" s="27" t="n">
        <v>49409</v>
      </c>
      <c r="B172" s="19" t="n">
        <v>1056.64000000001</v>
      </c>
      <c r="C172" s="19">
        <f>ROUND(1056.64*I172, 2)</f>
        <v/>
      </c>
      <c r="D172" s="19" t="n"/>
      <c r="E172" s="19" t="n"/>
      <c r="F172" s="19" t="n"/>
      <c r="G172" s="19">
        <f>G171-M172+D172</f>
        <v/>
      </c>
      <c r="H172" s="19">
        <f>H171-M172</f>
        <v/>
      </c>
      <c r="I172" s="20" t="n">
        <v>1</v>
      </c>
      <c r="J172" s="19">
        <f>ROUND((G171)*0.009/12 +D172* F172*0.009/12, 2)</f>
        <v/>
      </c>
      <c r="K172" s="19" t="n"/>
      <c r="L172" s="28" t="n">
        <v>27.5600000000001</v>
      </c>
      <c r="M172" s="19">
        <f>C172-J172</f>
        <v/>
      </c>
      <c r="N172" s="19">
        <f>B172-M172</f>
        <v/>
      </c>
      <c r="O172" s="19">
        <f>J172+K172+L172</f>
        <v/>
      </c>
    </row>
    <row r="173" ht="15.75" customHeight="1">
      <c r="A173" s="27" t="n">
        <v>49439</v>
      </c>
      <c r="B173" s="19" t="n">
        <v>1056.64000000001</v>
      </c>
      <c r="C173" s="19">
        <f>ROUND(1056.64*I173, 2)</f>
        <v/>
      </c>
      <c r="D173" s="19" t="n"/>
      <c r="E173" s="19" t="n"/>
      <c r="F173" s="19" t="n"/>
      <c r="G173" s="19">
        <f>G172-M173+D173</f>
        <v/>
      </c>
      <c r="H173" s="19">
        <f>H172-M173</f>
        <v/>
      </c>
      <c r="I173" s="20" t="n">
        <v>1</v>
      </c>
      <c r="J173" s="19">
        <f>ROUND((G172)*0.009/12 +D173* F173*0.009/12, 2)</f>
        <v/>
      </c>
      <c r="K173" s="19" t="n"/>
      <c r="L173" s="28" t="n">
        <v>27.5600000000001</v>
      </c>
      <c r="M173" s="19">
        <f>C173-J173</f>
        <v/>
      </c>
      <c r="N173" s="19">
        <f>B173-M173</f>
        <v/>
      </c>
      <c r="O173" s="19">
        <f>J173+K173+L173</f>
        <v/>
      </c>
    </row>
    <row r="174" ht="15.75" customHeight="1">
      <c r="A174" s="27" t="n">
        <v>49470</v>
      </c>
      <c r="B174" s="19" t="n">
        <v>1056.64000000001</v>
      </c>
      <c r="C174" s="19">
        <f>ROUND(1056.64*I174, 2)</f>
        <v/>
      </c>
      <c r="D174" s="19" t="n"/>
      <c r="E174" s="19" t="n"/>
      <c r="F174" s="19" t="n"/>
      <c r="G174" s="19">
        <f>G173-M174+D174</f>
        <v/>
      </c>
      <c r="H174" s="19">
        <f>H173-M174</f>
        <v/>
      </c>
      <c r="I174" s="20" t="n">
        <v>1</v>
      </c>
      <c r="J174" s="19">
        <f>ROUND((G173)*0.009/12 +D174* F174*0.009/12, 2)</f>
        <v/>
      </c>
      <c r="K174" s="19" t="n"/>
      <c r="L174" s="28" t="n">
        <v>27.5600000000001</v>
      </c>
      <c r="M174" s="19">
        <f>C174-J174</f>
        <v/>
      </c>
      <c r="N174" s="19">
        <f>B174-M174</f>
        <v/>
      </c>
      <c r="O174" s="19">
        <f>J174+K174+L174</f>
        <v/>
      </c>
    </row>
    <row r="175" ht="15.75" customHeight="1">
      <c r="A175" s="27" t="n">
        <v>49500</v>
      </c>
      <c r="B175" s="19" t="n">
        <v>1056.64000000001</v>
      </c>
      <c r="C175" s="19">
        <f>ROUND(1056.64*I175, 2)</f>
        <v/>
      </c>
      <c r="D175" s="19" t="n"/>
      <c r="E175" s="19" t="n"/>
      <c r="F175" s="19" t="n"/>
      <c r="G175" s="19">
        <f>G174-M175+D175</f>
        <v/>
      </c>
      <c r="H175" s="19">
        <f>H174-M175</f>
        <v/>
      </c>
      <c r="I175" s="20" t="n">
        <v>1</v>
      </c>
      <c r="J175" s="19">
        <f>ROUND((G174)*0.009/12 +D175* F175*0.009/12, 2)</f>
        <v/>
      </c>
      <c r="K175" s="19" t="n"/>
      <c r="L175" s="28" t="n">
        <v>27.5600000000001</v>
      </c>
      <c r="M175" s="19">
        <f>C175-J175</f>
        <v/>
      </c>
      <c r="N175" s="19">
        <f>B175-M175</f>
        <v/>
      </c>
      <c r="O175" s="19">
        <f>J175+K175+L175</f>
        <v/>
      </c>
    </row>
    <row r="176" ht="15.75" customHeight="1">
      <c r="A176" s="27" t="n">
        <v>49531</v>
      </c>
      <c r="B176" s="19" t="n">
        <v>1056.64000000001</v>
      </c>
      <c r="C176" s="19">
        <f>ROUND(1056.64*I176, 2)</f>
        <v/>
      </c>
      <c r="D176" s="19" t="n"/>
      <c r="E176" s="19" t="n"/>
      <c r="F176" s="19" t="n"/>
      <c r="G176" s="19">
        <f>G175-M176+D176</f>
        <v/>
      </c>
      <c r="H176" s="19">
        <f>H175-M176</f>
        <v/>
      </c>
      <c r="I176" s="20" t="n">
        <v>1</v>
      </c>
      <c r="J176" s="19">
        <f>ROUND((G175)*0.009/12 +D176* F176*0.009/12, 2)</f>
        <v/>
      </c>
      <c r="K176" s="19" t="n"/>
      <c r="L176" s="28" t="n">
        <v>27.5600000000001</v>
      </c>
      <c r="M176" s="19">
        <f>C176-J176</f>
        <v/>
      </c>
      <c r="N176" s="19">
        <f>B176-M176</f>
        <v/>
      </c>
      <c r="O176" s="19">
        <f>J176+K176+L176</f>
        <v/>
      </c>
    </row>
    <row r="177" ht="15.75" customHeight="1">
      <c r="A177" s="27" t="n">
        <v>49562</v>
      </c>
      <c r="B177" s="19" t="n">
        <v>1056.64000000001</v>
      </c>
      <c r="C177" s="19">
        <f>ROUND(1056.64*I177, 2)</f>
        <v/>
      </c>
      <c r="D177" s="19" t="n"/>
      <c r="E177" s="19" t="n"/>
      <c r="F177" s="19" t="n"/>
      <c r="G177" s="19">
        <f>G176-M177+D177</f>
        <v/>
      </c>
      <c r="H177" s="19">
        <f>H176-M177</f>
        <v/>
      </c>
      <c r="I177" s="20" t="n">
        <v>1</v>
      </c>
      <c r="J177" s="19">
        <f>ROUND((G176)*0.009/12 +D177* F177*0.009/12, 2)</f>
        <v/>
      </c>
      <c r="K177" s="19" t="n"/>
      <c r="L177" s="28" t="n">
        <v>27.5600000000001</v>
      </c>
      <c r="M177" s="19">
        <f>C177-J177</f>
        <v/>
      </c>
      <c r="N177" s="19">
        <f>B177-M177</f>
        <v/>
      </c>
      <c r="O177" s="19">
        <f>J177+K177+L177</f>
        <v/>
      </c>
    </row>
    <row r="178" ht="15.75" customHeight="1">
      <c r="A178" s="27" t="n">
        <v>49592</v>
      </c>
      <c r="B178" s="19" t="n">
        <v>1056.64000000001</v>
      </c>
      <c r="C178" s="19">
        <f>ROUND(1056.64*I178, 2)</f>
        <v/>
      </c>
      <c r="D178" s="19" t="n"/>
      <c r="E178" s="19" t="n"/>
      <c r="F178" s="19" t="n"/>
      <c r="G178" s="19">
        <f>G177-M178+D178</f>
        <v/>
      </c>
      <c r="H178" s="19">
        <f>H177-M178</f>
        <v/>
      </c>
      <c r="I178" s="20" t="n">
        <v>1</v>
      </c>
      <c r="J178" s="19">
        <f>ROUND((G177)*0.009/12 +D178* F178*0.009/12, 2)</f>
        <v/>
      </c>
      <c r="K178" s="19" t="n"/>
      <c r="L178" s="28" t="n">
        <v>27.5600000000001</v>
      </c>
      <c r="M178" s="19">
        <f>C178-J178</f>
        <v/>
      </c>
      <c r="N178" s="19">
        <f>B178-M178</f>
        <v/>
      </c>
      <c r="O178" s="19">
        <f>J178+K178+L178</f>
        <v/>
      </c>
    </row>
    <row r="179" ht="15.75" customHeight="1">
      <c r="A179" s="27" t="n">
        <v>49623</v>
      </c>
      <c r="B179" s="19" t="n">
        <v>1056.64000000001</v>
      </c>
      <c r="C179" s="19">
        <f>ROUND(1056.64*I179, 2)</f>
        <v/>
      </c>
      <c r="D179" s="19" t="n"/>
      <c r="E179" s="19" t="n"/>
      <c r="F179" s="19" t="n"/>
      <c r="G179" s="19">
        <f>G178-M179+D179</f>
        <v/>
      </c>
      <c r="H179" s="19">
        <f>H178-M179</f>
        <v/>
      </c>
      <c r="I179" s="20" t="n">
        <v>1</v>
      </c>
      <c r="J179" s="19">
        <f>ROUND((G178)*0.009/12 +D179* F179*0.009/12, 2)</f>
        <v/>
      </c>
      <c r="K179" s="19" t="n"/>
      <c r="L179" s="28" t="n">
        <v>27.5600000000001</v>
      </c>
      <c r="M179" s="19">
        <f>C179-J179</f>
        <v/>
      </c>
      <c r="N179" s="19">
        <f>B179-M179</f>
        <v/>
      </c>
      <c r="O179" s="19">
        <f>J179+K179+L179</f>
        <v/>
      </c>
    </row>
    <row r="180" ht="15.75" customHeight="1">
      <c r="A180" s="27" t="n">
        <v>49653</v>
      </c>
      <c r="B180" s="19" t="n">
        <v>1056.64000000001</v>
      </c>
      <c r="C180" s="19">
        <f>ROUND(1056.64*I180, 2)</f>
        <v/>
      </c>
      <c r="D180" s="19" t="n"/>
      <c r="E180" s="19" t="n"/>
      <c r="F180" s="19" t="n"/>
      <c r="G180" s="19">
        <f>G179-M180+D180</f>
        <v/>
      </c>
      <c r="H180" s="19">
        <f>H179-M180</f>
        <v/>
      </c>
      <c r="I180" s="20" t="n">
        <v>1</v>
      </c>
      <c r="J180" s="19">
        <f>ROUND((G179)*0.009/12 +D180* F180*0.009/12, 2)</f>
        <v/>
      </c>
      <c r="K180" s="19" t="n"/>
      <c r="L180" s="28" t="n">
        <v>27.5600000000001</v>
      </c>
      <c r="M180" s="19">
        <f>C180-J180</f>
        <v/>
      </c>
      <c r="N180" s="19">
        <f>B180-M180</f>
        <v/>
      </c>
      <c r="O180" s="19">
        <f>J180+K180+L180</f>
        <v/>
      </c>
    </row>
    <row r="181" ht="15.75" customHeight="1">
      <c r="A181" s="27" t="n">
        <v>49684</v>
      </c>
      <c r="B181" s="19" t="n">
        <v>1056.64000000001</v>
      </c>
      <c r="C181" s="19">
        <f>ROUND(1056.64*I181, 2)</f>
        <v/>
      </c>
      <c r="D181" s="19" t="n"/>
      <c r="E181" s="19" t="n"/>
      <c r="F181" s="19" t="n"/>
      <c r="G181" s="19">
        <f>G180-M181+D181</f>
        <v/>
      </c>
      <c r="H181" s="19">
        <f>H180-M181</f>
        <v/>
      </c>
      <c r="I181" s="20" t="n">
        <v>1</v>
      </c>
      <c r="J181" s="19">
        <f>ROUND((G180)*0.009/12 +D181* F181*0.009/12, 2)</f>
        <v/>
      </c>
      <c r="K181" s="19" t="n"/>
      <c r="L181" s="28" t="n">
        <v>27.5600000000001</v>
      </c>
      <c r="M181" s="19">
        <f>C181-J181</f>
        <v/>
      </c>
      <c r="N181" s="19">
        <f>B181-M181</f>
        <v/>
      </c>
      <c r="O181" s="19">
        <f>J181+K181+L181</f>
        <v/>
      </c>
    </row>
    <row r="182" ht="15.75" customHeight="1">
      <c r="A182" s="27" t="n">
        <v>49715</v>
      </c>
      <c r="B182" s="19" t="n">
        <v>1056.64000000001</v>
      </c>
      <c r="C182" s="19">
        <f>ROUND(1056.64*I182, 2)</f>
        <v/>
      </c>
      <c r="D182" s="19" t="n"/>
      <c r="E182" s="19" t="n"/>
      <c r="F182" s="19" t="n"/>
      <c r="G182" s="19">
        <f>G181-M182+D182</f>
        <v/>
      </c>
      <c r="H182" s="19">
        <f>H181-M182</f>
        <v/>
      </c>
      <c r="I182" s="20" t="n">
        <v>1</v>
      </c>
      <c r="J182" s="19">
        <f>ROUND((G181)*0.009/12 +D182* F182*0.009/12, 2)</f>
        <v/>
      </c>
      <c r="K182" s="19" t="n"/>
      <c r="L182" s="28" t="n">
        <v>27.5600000000001</v>
      </c>
      <c r="M182" s="19">
        <f>C182-J182</f>
        <v/>
      </c>
      <c r="N182" s="19">
        <f>B182-M182</f>
        <v/>
      </c>
      <c r="O182" s="19">
        <f>J182+K182+L182</f>
        <v/>
      </c>
    </row>
    <row r="183" ht="15.75" customHeight="1">
      <c r="A183" s="27" t="n">
        <v>49744</v>
      </c>
      <c r="B183" s="19" t="n">
        <v>1056.64000000001</v>
      </c>
      <c r="C183" s="19">
        <f>ROUND(1056.64*I183, 2)</f>
        <v/>
      </c>
      <c r="D183" s="19" t="n"/>
      <c r="E183" s="19" t="n"/>
      <c r="F183" s="19" t="n"/>
      <c r="G183" s="19">
        <f>G182-M183+D183</f>
        <v/>
      </c>
      <c r="H183" s="19">
        <f>H182-M183</f>
        <v/>
      </c>
      <c r="I183" s="20" t="n">
        <v>1</v>
      </c>
      <c r="J183" s="19">
        <f>ROUND((G182)*0.009/12 +D183* F183*0.009/12, 2)</f>
        <v/>
      </c>
      <c r="K183" s="19" t="n"/>
      <c r="L183" s="28" t="n">
        <v>27.5600000000001</v>
      </c>
      <c r="M183" s="19">
        <f>C183-J183</f>
        <v/>
      </c>
      <c r="N183" s="19">
        <f>B183-M183</f>
        <v/>
      </c>
      <c r="O183" s="19">
        <f>J183+K183+L183</f>
        <v/>
      </c>
    </row>
    <row r="184" ht="15.75" customHeight="1">
      <c r="A184" s="27" t="n">
        <v>49775</v>
      </c>
      <c r="B184" s="19" t="n">
        <v>1056.64000000001</v>
      </c>
      <c r="C184" s="19">
        <f>ROUND(1056.64*I184, 2)</f>
        <v/>
      </c>
      <c r="D184" s="19" t="n"/>
      <c r="E184" s="19" t="n"/>
      <c r="F184" s="19" t="n"/>
      <c r="G184" s="19">
        <f>G183-M184+D184</f>
        <v/>
      </c>
      <c r="H184" s="19">
        <f>H183-M184</f>
        <v/>
      </c>
      <c r="I184" s="20" t="n">
        <v>1</v>
      </c>
      <c r="J184" s="19">
        <f>ROUND((G183)*0.009/12 +D184* F184*0.009/12, 2)</f>
        <v/>
      </c>
      <c r="K184" s="19" t="n"/>
      <c r="L184" s="28" t="n">
        <v>27.5600000000001</v>
      </c>
      <c r="M184" s="19">
        <f>C184-J184</f>
        <v/>
      </c>
      <c r="N184" s="19">
        <f>B184-M184</f>
        <v/>
      </c>
      <c r="O184" s="19">
        <f>J184+K184+L184</f>
        <v/>
      </c>
    </row>
    <row r="185" ht="15.75" customHeight="1">
      <c r="A185" s="27" t="n">
        <v>49805</v>
      </c>
      <c r="B185" s="19" t="n">
        <v>1056.64000000001</v>
      </c>
      <c r="C185" s="19">
        <f>ROUND(1056.64*I185, 2)</f>
        <v/>
      </c>
      <c r="D185" s="19" t="n"/>
      <c r="E185" s="19" t="n"/>
      <c r="F185" s="19" t="n"/>
      <c r="G185" s="19">
        <f>G184-M185+D185</f>
        <v/>
      </c>
      <c r="H185" s="19">
        <f>H184-M185</f>
        <v/>
      </c>
      <c r="I185" s="20" t="n">
        <v>1</v>
      </c>
      <c r="J185" s="19">
        <f>ROUND((G184)*0.009/12 +D185* F185*0.009/12, 2)</f>
        <v/>
      </c>
      <c r="K185" s="19" t="n"/>
      <c r="L185" s="28" t="n">
        <v>27.5600000000001</v>
      </c>
      <c r="M185" s="19">
        <f>C185-J185</f>
        <v/>
      </c>
      <c r="N185" s="19">
        <f>B185-M185</f>
        <v/>
      </c>
      <c r="O185" s="19">
        <f>J185+K185+L185</f>
        <v/>
      </c>
    </row>
    <row r="186" ht="15.75" customHeight="1">
      <c r="A186" s="27" t="n">
        <v>49836</v>
      </c>
      <c r="B186" s="19" t="n">
        <v>1056.64000000001</v>
      </c>
      <c r="C186" s="19">
        <f>ROUND(1056.64*I186, 2)</f>
        <v/>
      </c>
      <c r="D186" s="19" t="n"/>
      <c r="E186" s="19" t="n"/>
      <c r="F186" s="19" t="n"/>
      <c r="G186" s="19">
        <f>G185-M186+D186</f>
        <v/>
      </c>
      <c r="H186" s="19">
        <f>H185-M186</f>
        <v/>
      </c>
      <c r="I186" s="20" t="n">
        <v>1</v>
      </c>
      <c r="J186" s="19">
        <f>ROUND((G185)*0.009/12 +D186* F186*0.009/12, 2)</f>
        <v/>
      </c>
      <c r="K186" s="19" t="n"/>
      <c r="L186" s="28" t="n">
        <v>27.5600000000001</v>
      </c>
      <c r="M186" s="19">
        <f>C186-J186</f>
        <v/>
      </c>
      <c r="N186" s="19">
        <f>B186-M186</f>
        <v/>
      </c>
      <c r="O186" s="19">
        <f>J186+K186+L186</f>
        <v/>
      </c>
    </row>
    <row r="187" ht="15.75" customHeight="1">
      <c r="A187" s="27" t="n">
        <v>49866</v>
      </c>
      <c r="B187" s="19" t="n">
        <v>1056.64000000001</v>
      </c>
      <c r="C187" s="19">
        <f>ROUND(1056.64*I187, 2)</f>
        <v/>
      </c>
      <c r="D187" s="19" t="n"/>
      <c r="E187" s="19" t="n"/>
      <c r="F187" s="19" t="n"/>
      <c r="G187" s="19">
        <f>G186-M187+D187</f>
        <v/>
      </c>
      <c r="H187" s="19">
        <f>H186-M187</f>
        <v/>
      </c>
      <c r="I187" s="20" t="n">
        <v>1</v>
      </c>
      <c r="J187" s="19">
        <f>ROUND((G186)*0.009/12 +D187* F187*0.009/12, 2)</f>
        <v/>
      </c>
      <c r="K187" s="19" t="n"/>
      <c r="L187" s="28" t="n">
        <v>27.5600000000001</v>
      </c>
      <c r="M187" s="19">
        <f>C187-J187</f>
        <v/>
      </c>
      <c r="N187" s="19">
        <f>B187-M187</f>
        <v/>
      </c>
      <c r="O187" s="19">
        <f>J187+K187+L187</f>
        <v/>
      </c>
    </row>
    <row r="188" ht="15.75" customHeight="1">
      <c r="A188" s="27" t="n">
        <v>49897</v>
      </c>
      <c r="B188" s="19" t="n">
        <v>1056.64000000001</v>
      </c>
      <c r="C188" s="19">
        <f>ROUND(1056.64*I188, 2)</f>
        <v/>
      </c>
      <c r="D188" s="19" t="n"/>
      <c r="E188" s="19" t="n"/>
      <c r="F188" s="19" t="n"/>
      <c r="G188" s="19">
        <f>G187-M188+D188</f>
        <v/>
      </c>
      <c r="H188" s="19">
        <f>H187-M188</f>
        <v/>
      </c>
      <c r="I188" s="20" t="n">
        <v>1</v>
      </c>
      <c r="J188" s="19">
        <f>ROUND((G187)*0.009/12 +D188* F188*0.009/12, 2)</f>
        <v/>
      </c>
      <c r="K188" s="19" t="n"/>
      <c r="L188" s="28" t="n">
        <v>27.5600000000001</v>
      </c>
      <c r="M188" s="19">
        <f>C188-J188</f>
        <v/>
      </c>
      <c r="N188" s="19">
        <f>B188-M188</f>
        <v/>
      </c>
      <c r="O188" s="19">
        <f>J188+K188+L188</f>
        <v/>
      </c>
    </row>
    <row r="189" ht="15.75" customHeight="1">
      <c r="A189" s="27" t="n">
        <v>49928</v>
      </c>
      <c r="B189" s="19" t="n">
        <v>1056.64000000001</v>
      </c>
      <c r="C189" s="19">
        <f>ROUND(1056.64*I189, 2)</f>
        <v/>
      </c>
      <c r="D189" s="19" t="n"/>
      <c r="E189" s="19" t="n"/>
      <c r="F189" s="19" t="n"/>
      <c r="G189" s="19">
        <f>G188-M189+D189</f>
        <v/>
      </c>
      <c r="H189" s="19">
        <f>H188-M189</f>
        <v/>
      </c>
      <c r="I189" s="20" t="n">
        <v>1</v>
      </c>
      <c r="J189" s="19">
        <f>ROUND((G188)*0.009/12 +D189* F189*0.009/12, 2)</f>
        <v/>
      </c>
      <c r="K189" s="19" t="n"/>
      <c r="L189" s="28" t="n">
        <v>27.5600000000001</v>
      </c>
      <c r="M189" s="19">
        <f>C189-J189</f>
        <v/>
      </c>
      <c r="N189" s="19">
        <f>B189-M189</f>
        <v/>
      </c>
      <c r="O189" s="19">
        <f>J189+K189+L189</f>
        <v/>
      </c>
    </row>
    <row r="190" ht="15.75" customHeight="1">
      <c r="A190" s="27" t="n">
        <v>49958</v>
      </c>
      <c r="B190" s="19" t="n">
        <v>1056.64000000001</v>
      </c>
      <c r="C190" s="19">
        <f>ROUND(1056.64*I190, 2)</f>
        <v/>
      </c>
      <c r="D190" s="19" t="n"/>
      <c r="E190" s="19" t="n"/>
      <c r="F190" s="19" t="n"/>
      <c r="G190" s="19">
        <f>G189-M190+D190</f>
        <v/>
      </c>
      <c r="H190" s="19">
        <f>H189-M190</f>
        <v/>
      </c>
      <c r="I190" s="20" t="n">
        <v>1</v>
      </c>
      <c r="J190" s="19">
        <f>ROUND((G189)*0.009/12 +D190* F190*0.009/12, 2)</f>
        <v/>
      </c>
      <c r="K190" s="19" t="n"/>
      <c r="L190" s="28" t="n">
        <v>27.5600000000001</v>
      </c>
      <c r="M190" s="19">
        <f>C190-J190</f>
        <v/>
      </c>
      <c r="N190" s="19">
        <f>B190-M190</f>
        <v/>
      </c>
      <c r="O190" s="19">
        <f>J190+K190+L190</f>
        <v/>
      </c>
    </row>
    <row r="191" ht="15.75" customHeight="1">
      <c r="A191" s="27" t="n">
        <v>49989</v>
      </c>
      <c r="B191" s="19" t="n">
        <v>1056.64000000001</v>
      </c>
      <c r="C191" s="19">
        <f>ROUND(1056.64*I191, 2)</f>
        <v/>
      </c>
      <c r="D191" s="19" t="n"/>
      <c r="E191" s="19" t="n"/>
      <c r="F191" s="19" t="n"/>
      <c r="G191" s="19">
        <f>G190-M191+D191</f>
        <v/>
      </c>
      <c r="H191" s="19">
        <f>H190-M191</f>
        <v/>
      </c>
      <c r="I191" s="20" t="n">
        <v>1</v>
      </c>
      <c r="J191" s="19">
        <f>ROUND((G190)*0.009/12 +D191* F191*0.009/12, 2)</f>
        <v/>
      </c>
      <c r="K191" s="19" t="n"/>
      <c r="L191" s="28" t="n">
        <v>27.5600000000001</v>
      </c>
      <c r="M191" s="19">
        <f>C191-J191</f>
        <v/>
      </c>
      <c r="N191" s="19">
        <f>B191-M191</f>
        <v/>
      </c>
      <c r="O191" s="19">
        <f>J191+K191+L191</f>
        <v/>
      </c>
    </row>
    <row r="192" ht="15.75" customHeight="1">
      <c r="A192" s="27" t="n">
        <v>50019</v>
      </c>
      <c r="B192" s="19" t="n">
        <v>1056.64000000001</v>
      </c>
      <c r="C192" s="19">
        <f>ROUND(1056.64*I192, 2)</f>
        <v/>
      </c>
      <c r="D192" s="19" t="n"/>
      <c r="E192" s="19" t="n"/>
      <c r="F192" s="19" t="n"/>
      <c r="G192" s="19">
        <f>G191-M192+D192</f>
        <v/>
      </c>
      <c r="H192" s="19">
        <f>H191-M192</f>
        <v/>
      </c>
      <c r="I192" s="20" t="n">
        <v>1</v>
      </c>
      <c r="J192" s="19">
        <f>ROUND((G191)*0.009/12 +D192* F192*0.009/12, 2)</f>
        <v/>
      </c>
      <c r="K192" s="19" t="n"/>
      <c r="L192" s="28" t="n">
        <v>27.5600000000001</v>
      </c>
      <c r="M192" s="19">
        <f>C192-J192</f>
        <v/>
      </c>
      <c r="N192" s="19">
        <f>B192-M192</f>
        <v/>
      </c>
      <c r="O192" s="19">
        <f>J192+K192+L192</f>
        <v/>
      </c>
    </row>
    <row r="193" ht="15.75" customHeight="1">
      <c r="A193" s="27" t="n">
        <v>50050</v>
      </c>
      <c r="B193" s="19" t="n">
        <v>1056.64000000001</v>
      </c>
      <c r="C193" s="19">
        <f>ROUND(1056.64*I193, 2)</f>
        <v/>
      </c>
      <c r="D193" s="19" t="n"/>
      <c r="E193" s="19" t="n"/>
      <c r="F193" s="19" t="n"/>
      <c r="G193" s="19">
        <f>G192-M193+D193</f>
        <v/>
      </c>
      <c r="H193" s="19">
        <f>H192-M193</f>
        <v/>
      </c>
      <c r="I193" s="20" t="n">
        <v>1</v>
      </c>
      <c r="J193" s="19">
        <f>ROUND((G192)*0.009/12 +D193* F193*0.009/12, 2)</f>
        <v/>
      </c>
      <c r="K193" s="19" t="n"/>
      <c r="L193" s="28" t="n">
        <v>27.5600000000001</v>
      </c>
      <c r="M193" s="19">
        <f>C193-J193</f>
        <v/>
      </c>
      <c r="N193" s="19">
        <f>B193-M193</f>
        <v/>
      </c>
      <c r="O193" s="19">
        <f>J193+K193+L193</f>
        <v/>
      </c>
    </row>
    <row r="194" ht="15.75" customHeight="1">
      <c r="A194" s="27" t="n">
        <v>50081</v>
      </c>
      <c r="B194" s="19" t="n">
        <v>1056.64000000001</v>
      </c>
      <c r="C194" s="19">
        <f>ROUND(1056.64*I194, 2)</f>
        <v/>
      </c>
      <c r="D194" s="19" t="n"/>
      <c r="E194" s="19" t="n"/>
      <c r="F194" s="19" t="n"/>
      <c r="G194" s="19">
        <f>G193-M194+D194</f>
        <v/>
      </c>
      <c r="H194" s="19">
        <f>H193-M194</f>
        <v/>
      </c>
      <c r="I194" s="20" t="n">
        <v>1</v>
      </c>
      <c r="J194" s="19">
        <f>ROUND((G193)*0.009/12 +D194* F194*0.009/12, 2)</f>
        <v/>
      </c>
      <c r="K194" s="19" t="n"/>
      <c r="L194" s="28" t="n">
        <v>27.5600000000001</v>
      </c>
      <c r="M194" s="19">
        <f>C194-J194</f>
        <v/>
      </c>
      <c r="N194" s="19">
        <f>B194-M194</f>
        <v/>
      </c>
      <c r="O194" s="19">
        <f>J194+K194+L194</f>
        <v/>
      </c>
    </row>
    <row r="195" ht="15.75" customHeight="1">
      <c r="A195" s="27" t="n">
        <v>50109</v>
      </c>
      <c r="B195" s="19" t="n">
        <v>1056.64000000001</v>
      </c>
      <c r="C195" s="19">
        <f>ROUND(1056.64*I195, 2)</f>
        <v/>
      </c>
      <c r="D195" s="19" t="n"/>
      <c r="E195" s="19" t="n"/>
      <c r="F195" s="19" t="n"/>
      <c r="G195" s="19">
        <f>G194-M195+D195</f>
        <v/>
      </c>
      <c r="H195" s="19">
        <f>H194-M195</f>
        <v/>
      </c>
      <c r="I195" s="20" t="n">
        <v>1</v>
      </c>
      <c r="J195" s="19">
        <f>ROUND((G194)*0.009/12 +D195* F195*0.009/12, 2)</f>
        <v/>
      </c>
      <c r="K195" s="19" t="n"/>
      <c r="L195" s="28" t="n">
        <v>27.5600000000001</v>
      </c>
      <c r="M195" s="19">
        <f>C195-J195</f>
        <v/>
      </c>
      <c r="N195" s="19">
        <f>B195-M195</f>
        <v/>
      </c>
      <c r="O195" s="19">
        <f>J195+K195+L195</f>
        <v/>
      </c>
    </row>
    <row r="196" ht="15.75" customHeight="1">
      <c r="A196" s="27" t="n">
        <v>50140</v>
      </c>
      <c r="B196" s="19" t="n">
        <v>1056.64000000001</v>
      </c>
      <c r="C196" s="19">
        <f>ROUND(1056.64*I196, 2)</f>
        <v/>
      </c>
      <c r="D196" s="19" t="n"/>
      <c r="E196" s="19" t="n"/>
      <c r="F196" s="19" t="n"/>
      <c r="G196" s="19">
        <f>G195-M196+D196</f>
        <v/>
      </c>
      <c r="H196" s="19">
        <f>H195-M196</f>
        <v/>
      </c>
      <c r="I196" s="20" t="n">
        <v>1</v>
      </c>
      <c r="J196" s="19">
        <f>ROUND((G195)*0.009/12 +D196* F196*0.009/12, 2)</f>
        <v/>
      </c>
      <c r="K196" s="19" t="n"/>
      <c r="L196" s="28" t="n">
        <v>27.5600000000001</v>
      </c>
      <c r="M196" s="19">
        <f>C196-J196</f>
        <v/>
      </c>
      <c r="N196" s="19">
        <f>B196-M196</f>
        <v/>
      </c>
      <c r="O196" s="19">
        <f>J196+K196+L196</f>
        <v/>
      </c>
    </row>
    <row r="197" ht="15.75" customHeight="1">
      <c r="A197" s="27" t="n">
        <v>50170</v>
      </c>
      <c r="B197" s="19" t="n">
        <v>1056.64000000001</v>
      </c>
      <c r="C197" s="19">
        <f>ROUND(1056.64*I197, 2)</f>
        <v/>
      </c>
      <c r="D197" s="19" t="n"/>
      <c r="E197" s="19" t="n"/>
      <c r="F197" s="19" t="n"/>
      <c r="G197" s="19">
        <f>G196-M197+D197</f>
        <v/>
      </c>
      <c r="H197" s="19">
        <f>H196-M197</f>
        <v/>
      </c>
      <c r="I197" s="20" t="n">
        <v>1</v>
      </c>
      <c r="J197" s="19">
        <f>ROUND((G196)*0.009/12 +D197* F197*0.009/12, 2)</f>
        <v/>
      </c>
      <c r="K197" s="19" t="n"/>
      <c r="L197" s="28" t="n">
        <v>27.5600000000001</v>
      </c>
      <c r="M197" s="19">
        <f>C197-J197</f>
        <v/>
      </c>
      <c r="N197" s="19">
        <f>B197-M197</f>
        <v/>
      </c>
      <c r="O197" s="19">
        <f>J197+K197+L197</f>
        <v/>
      </c>
    </row>
    <row r="198" ht="15.75" customHeight="1">
      <c r="A198" s="27" t="n">
        <v>50201</v>
      </c>
      <c r="B198" s="19" t="n">
        <v>1056.64000000001</v>
      </c>
      <c r="C198" s="19">
        <f>ROUND(1056.64*I198, 2)</f>
        <v/>
      </c>
      <c r="D198" s="19" t="n"/>
      <c r="E198" s="19" t="n"/>
      <c r="F198" s="19" t="n"/>
      <c r="G198" s="19">
        <f>G197-M198+D198</f>
        <v/>
      </c>
      <c r="H198" s="19">
        <f>H197-M198</f>
        <v/>
      </c>
      <c r="I198" s="20" t="n">
        <v>1</v>
      </c>
      <c r="J198" s="19">
        <f>ROUND((G197)*0.009/12 +D198* F198*0.009/12, 2)</f>
        <v/>
      </c>
      <c r="K198" s="19" t="n"/>
      <c r="L198" s="28" t="n">
        <v>27.5600000000001</v>
      </c>
      <c r="M198" s="19">
        <f>C198-J198</f>
        <v/>
      </c>
      <c r="N198" s="19">
        <f>B198-M198</f>
        <v/>
      </c>
      <c r="O198" s="19">
        <f>J198+K198+L198</f>
        <v/>
      </c>
    </row>
    <row r="199" ht="15.75" customHeight="1">
      <c r="A199" s="27" t="n">
        <v>50231</v>
      </c>
      <c r="B199" s="19" t="n">
        <v>1056.64000000001</v>
      </c>
      <c r="C199" s="19">
        <f>ROUND(1056.64*I199, 2)</f>
        <v/>
      </c>
      <c r="D199" s="19" t="n"/>
      <c r="E199" s="19" t="n"/>
      <c r="F199" s="19" t="n"/>
      <c r="G199" s="19">
        <f>G198-M199+D199</f>
        <v/>
      </c>
      <c r="H199" s="19">
        <f>H198-M199</f>
        <v/>
      </c>
      <c r="I199" s="20" t="n">
        <v>1</v>
      </c>
      <c r="J199" s="19">
        <f>ROUND((G198)*0.009/12 +D199* F199*0.009/12, 2)</f>
        <v/>
      </c>
      <c r="K199" s="19" t="n"/>
      <c r="L199" s="28" t="n">
        <v>27.5600000000001</v>
      </c>
      <c r="M199" s="19">
        <f>C199-J199</f>
        <v/>
      </c>
      <c r="N199" s="19">
        <f>B199-M199</f>
        <v/>
      </c>
      <c r="O199" s="19">
        <f>J199+K199+L199</f>
        <v/>
      </c>
    </row>
    <row r="200" ht="15.75" customHeight="1">
      <c r="A200" s="27" t="n">
        <v>50262</v>
      </c>
      <c r="B200" s="19" t="n">
        <v>1056.64000000001</v>
      </c>
      <c r="C200" s="19">
        <f>ROUND(1056.64*I200, 2)</f>
        <v/>
      </c>
      <c r="D200" s="19" t="n"/>
      <c r="E200" s="19" t="n"/>
      <c r="F200" s="19" t="n"/>
      <c r="G200" s="19">
        <f>G199-M200+D200</f>
        <v/>
      </c>
      <c r="H200" s="19">
        <f>H199-M200</f>
        <v/>
      </c>
      <c r="I200" s="20" t="n">
        <v>1</v>
      </c>
      <c r="J200" s="19">
        <f>ROUND((G199)*0.009/12 +D200* F200*0.009/12, 2)</f>
        <v/>
      </c>
      <c r="K200" s="19" t="n"/>
      <c r="L200" s="28" t="n">
        <v>27.5600000000001</v>
      </c>
      <c r="M200" s="19">
        <f>C200-J200</f>
        <v/>
      </c>
      <c r="N200" s="19">
        <f>B200-M200</f>
        <v/>
      </c>
      <c r="O200" s="19">
        <f>J200+K200+L200</f>
        <v/>
      </c>
    </row>
    <row r="201" ht="15.75" customHeight="1">
      <c r="A201" s="27" t="n">
        <v>50293</v>
      </c>
      <c r="B201" s="19" t="n">
        <v>1056.64000000001</v>
      </c>
      <c r="C201" s="19">
        <f>ROUND(1056.64*I201, 2)</f>
        <v/>
      </c>
      <c r="D201" s="19" t="n"/>
      <c r="E201" s="19" t="n"/>
      <c r="F201" s="19" t="n"/>
      <c r="G201" s="19">
        <f>G200-M201+D201</f>
        <v/>
      </c>
      <c r="H201" s="19">
        <f>H200-M201</f>
        <v/>
      </c>
      <c r="I201" s="20" t="n">
        <v>1</v>
      </c>
      <c r="J201" s="19">
        <f>ROUND((G200)*0.009/12 +D201* F201*0.009/12, 2)</f>
        <v/>
      </c>
      <c r="K201" s="19" t="n"/>
      <c r="L201" s="28" t="n">
        <v>27.5600000000001</v>
      </c>
      <c r="M201" s="19">
        <f>C201-J201</f>
        <v/>
      </c>
      <c r="N201" s="19">
        <f>B201-M201</f>
        <v/>
      </c>
      <c r="O201" s="19">
        <f>J201+K201+L201</f>
        <v/>
      </c>
    </row>
    <row r="202" ht="15.75" customHeight="1">
      <c r="A202" s="27" t="n">
        <v>50323</v>
      </c>
      <c r="B202" s="19" t="n">
        <v>1056.64000000001</v>
      </c>
      <c r="C202" s="19">
        <f>ROUND(1056.64*I202, 2)</f>
        <v/>
      </c>
      <c r="D202" s="19" t="n"/>
      <c r="E202" s="19" t="n"/>
      <c r="F202" s="19" t="n"/>
      <c r="G202" s="19">
        <f>G201-M202+D202</f>
        <v/>
      </c>
      <c r="H202" s="19">
        <f>H201-M202</f>
        <v/>
      </c>
      <c r="I202" s="20" t="n">
        <v>1</v>
      </c>
      <c r="J202" s="19">
        <f>ROUND((G201)*0.009/12 +D202* F202*0.009/12, 2)</f>
        <v/>
      </c>
      <c r="K202" s="19" t="n"/>
      <c r="L202" s="28" t="n">
        <v>27.5600000000001</v>
      </c>
      <c r="M202" s="19">
        <f>C202-J202</f>
        <v/>
      </c>
      <c r="N202" s="19">
        <f>B202-M202</f>
        <v/>
      </c>
      <c r="O202" s="19">
        <f>J202+K202+L202</f>
        <v/>
      </c>
    </row>
    <row r="203" ht="15.75" customHeight="1">
      <c r="A203" s="27" t="n">
        <v>50354</v>
      </c>
      <c r="B203" s="19" t="n">
        <v>1056.64000000001</v>
      </c>
      <c r="C203" s="19">
        <f>ROUND(1056.64*I203, 2)</f>
        <v/>
      </c>
      <c r="D203" s="19" t="n"/>
      <c r="E203" s="19" t="n"/>
      <c r="F203" s="19" t="n"/>
      <c r="G203" s="19">
        <f>G202-M203+D203</f>
        <v/>
      </c>
      <c r="H203" s="19">
        <f>H202-M203</f>
        <v/>
      </c>
      <c r="I203" s="20" t="n">
        <v>1</v>
      </c>
      <c r="J203" s="19">
        <f>ROUND((G202)*0.009/12 +D203* F203*0.009/12, 2)</f>
        <v/>
      </c>
      <c r="K203" s="19" t="n"/>
      <c r="L203" s="28" t="n">
        <v>27.5600000000001</v>
      </c>
      <c r="M203" s="19">
        <f>C203-J203</f>
        <v/>
      </c>
      <c r="N203" s="19">
        <f>B203-M203</f>
        <v/>
      </c>
      <c r="O203" s="19">
        <f>J203+K203+L203</f>
        <v/>
      </c>
    </row>
    <row r="204" ht="15.75" customHeight="1">
      <c r="A204" s="27" t="n">
        <v>50384</v>
      </c>
      <c r="B204" s="19" t="n">
        <v>1056.64000000002</v>
      </c>
      <c r="C204" s="19">
        <f>ROUND(1056.64*I204, 2)</f>
        <v/>
      </c>
      <c r="D204" s="19" t="n"/>
      <c r="E204" s="19" t="n"/>
      <c r="F204" s="19" t="n"/>
      <c r="G204" s="19">
        <f>G203-M204+D204</f>
        <v/>
      </c>
      <c r="H204" s="19">
        <f>H203-M204</f>
        <v/>
      </c>
      <c r="I204" s="20" t="n">
        <v>1</v>
      </c>
      <c r="J204" s="19">
        <f>ROUND((G203)*0.009/12 +D204* F204*0.009/12, 2)</f>
        <v/>
      </c>
      <c r="K204" s="19" t="n"/>
      <c r="L204" s="28" t="n">
        <v>27.56</v>
      </c>
      <c r="M204" s="19">
        <f>C204-J204</f>
        <v/>
      </c>
      <c r="N204" s="19">
        <f>B204-M204</f>
        <v/>
      </c>
      <c r="O204" s="19">
        <f>J204+K204+L204</f>
        <v/>
      </c>
    </row>
    <row r="205" ht="15.75" customHeight="1">
      <c r="A205" s="27" t="n">
        <v>50415</v>
      </c>
      <c r="B205" s="19" t="n">
        <v>1056.64000000002</v>
      </c>
      <c r="C205" s="19">
        <f>ROUND(1056.64*I205, 2)</f>
        <v/>
      </c>
      <c r="D205" s="19" t="n"/>
      <c r="E205" s="19" t="n"/>
      <c r="F205" s="19" t="n"/>
      <c r="G205" s="19">
        <f>G204-M205+D205</f>
        <v/>
      </c>
      <c r="H205" s="19">
        <f>H204-M205</f>
        <v/>
      </c>
      <c r="I205" s="20" t="n">
        <v>1</v>
      </c>
      <c r="J205" s="19">
        <f>ROUND((G204)*0.009/12 +D205* F205*0.009/12, 2)</f>
        <v/>
      </c>
      <c r="K205" s="19" t="n"/>
      <c r="L205" s="28" t="n">
        <v>27.56</v>
      </c>
      <c r="M205" s="19">
        <f>C205-J205</f>
        <v/>
      </c>
      <c r="N205" s="19">
        <f>B205-M205</f>
        <v/>
      </c>
      <c r="O205" s="19">
        <f>J205+K205+L205</f>
        <v/>
      </c>
    </row>
    <row r="206" ht="15.75" customHeight="1">
      <c r="A206" s="27" t="n">
        <v>50446</v>
      </c>
      <c r="B206" s="19" t="n">
        <v>1056.64000000002</v>
      </c>
      <c r="C206" s="19">
        <f>ROUND(1056.64*I206, 2)</f>
        <v/>
      </c>
      <c r="D206" s="19" t="n"/>
      <c r="E206" s="19" t="n"/>
      <c r="F206" s="19" t="n"/>
      <c r="G206" s="19">
        <f>G205-M206+D206</f>
        <v/>
      </c>
      <c r="H206" s="19">
        <f>H205-M206</f>
        <v/>
      </c>
      <c r="I206" s="20" t="n">
        <v>1</v>
      </c>
      <c r="J206" s="19">
        <f>ROUND((G205)*0.009/12 +D206* F206*0.009/12, 2)</f>
        <v/>
      </c>
      <c r="K206" s="19" t="n"/>
      <c r="L206" s="28" t="n">
        <v>27.56</v>
      </c>
      <c r="M206" s="19">
        <f>C206-J206</f>
        <v/>
      </c>
      <c r="N206" s="19">
        <f>B206-M206</f>
        <v/>
      </c>
      <c r="O206" s="19">
        <f>J206+K206+L206</f>
        <v/>
      </c>
    </row>
    <row r="207" ht="15.75" customHeight="1">
      <c r="A207" s="27" t="n">
        <v>50474</v>
      </c>
      <c r="B207" s="19" t="n">
        <v>1056.64000000002</v>
      </c>
      <c r="C207" s="19">
        <f>ROUND(1056.64*I207, 2)</f>
        <v/>
      </c>
      <c r="D207" s="19" t="n"/>
      <c r="E207" s="19" t="n"/>
      <c r="F207" s="19" t="n"/>
      <c r="G207" s="19">
        <f>G206-M207+D207</f>
        <v/>
      </c>
      <c r="H207" s="19">
        <f>H206-M207</f>
        <v/>
      </c>
      <c r="I207" s="20" t="n">
        <v>1</v>
      </c>
      <c r="J207" s="19">
        <f>ROUND((G206)*0.009/12 +D207* F207*0.009/12, 2)</f>
        <v/>
      </c>
      <c r="K207" s="19" t="n"/>
      <c r="L207" s="28" t="n">
        <v>27.56</v>
      </c>
      <c r="M207" s="19">
        <f>C207-J207</f>
        <v/>
      </c>
      <c r="N207" s="19">
        <f>B207-M207</f>
        <v/>
      </c>
      <c r="O207" s="19">
        <f>J207+K207+L207</f>
        <v/>
      </c>
    </row>
    <row r="208" ht="15.75" customHeight="1">
      <c r="A208" s="27" t="n">
        <v>50505</v>
      </c>
      <c r="B208" s="19" t="n">
        <v>1056.64000000002</v>
      </c>
      <c r="C208" s="19">
        <f>ROUND(1056.64*I208, 2)</f>
        <v/>
      </c>
      <c r="D208" s="19" t="n"/>
      <c r="E208" s="19" t="n"/>
      <c r="F208" s="19" t="n"/>
      <c r="G208" s="19">
        <f>G207-M208+D208</f>
        <v/>
      </c>
      <c r="H208" s="19">
        <f>H207-M208</f>
        <v/>
      </c>
      <c r="I208" s="20" t="n">
        <v>1</v>
      </c>
      <c r="J208" s="19">
        <f>ROUND((G207)*0.009/12 +D208* F208*0.009/12, 2)</f>
        <v/>
      </c>
      <c r="K208" s="19" t="n"/>
      <c r="L208" s="28" t="n">
        <v>27.56</v>
      </c>
      <c r="M208" s="19">
        <f>C208-J208</f>
        <v/>
      </c>
      <c r="N208" s="19">
        <f>B208-M208</f>
        <v/>
      </c>
      <c r="O208" s="19">
        <f>J208+K208+L208</f>
        <v/>
      </c>
    </row>
    <row r="209" ht="15.75" customHeight="1">
      <c r="A209" s="27" t="n">
        <v>50535</v>
      </c>
      <c r="B209" s="19" t="n">
        <v>1056.64000000002</v>
      </c>
      <c r="C209" s="19">
        <f>ROUND(1056.64*I209, 2)</f>
        <v/>
      </c>
      <c r="D209" s="19" t="n"/>
      <c r="E209" s="19" t="n"/>
      <c r="F209" s="19" t="n"/>
      <c r="G209" s="19">
        <f>G208-M209+D209</f>
        <v/>
      </c>
      <c r="H209" s="19">
        <f>H208-M209</f>
        <v/>
      </c>
      <c r="I209" s="20" t="n">
        <v>1</v>
      </c>
      <c r="J209" s="19">
        <f>ROUND((G208)*0.009/12 +D209* F209*0.009/12, 2)</f>
        <v/>
      </c>
      <c r="K209" s="19" t="n"/>
      <c r="L209" s="28" t="n">
        <v>27.56</v>
      </c>
      <c r="M209" s="19">
        <f>C209-J209</f>
        <v/>
      </c>
      <c r="N209" s="19">
        <f>B209-M209</f>
        <v/>
      </c>
      <c r="O209" s="19">
        <f>J209+K209+L209</f>
        <v/>
      </c>
    </row>
    <row r="210" ht="15.75" customHeight="1">
      <c r="A210" s="27" t="n">
        <v>50566</v>
      </c>
      <c r="B210" s="19" t="n">
        <v>1056.64000000002</v>
      </c>
      <c r="C210" s="19">
        <f>ROUND(1056.64*I210, 2)</f>
        <v/>
      </c>
      <c r="D210" s="19" t="n"/>
      <c r="E210" s="19" t="n"/>
      <c r="F210" s="19" t="n"/>
      <c r="G210" s="19">
        <f>G209-M210+D210</f>
        <v/>
      </c>
      <c r="H210" s="19">
        <f>H209-M210</f>
        <v/>
      </c>
      <c r="I210" s="20" t="n">
        <v>1</v>
      </c>
      <c r="J210" s="19">
        <f>ROUND((G209)*0.009/12 +D210* F210*0.009/12, 2)</f>
        <v/>
      </c>
      <c r="K210" s="19" t="n"/>
      <c r="L210" s="28" t="n">
        <v>27.56</v>
      </c>
      <c r="M210" s="19">
        <f>C210-J210</f>
        <v/>
      </c>
      <c r="N210" s="19">
        <f>B210-M210</f>
        <v/>
      </c>
      <c r="O210" s="19">
        <f>J210+K210+L210</f>
        <v/>
      </c>
    </row>
    <row r="211" ht="15.75" customHeight="1">
      <c r="A211" s="27" t="n">
        <v>50596</v>
      </c>
      <c r="B211" s="19" t="n">
        <v>1056.64000000002</v>
      </c>
      <c r="C211" s="19">
        <f>ROUND(1056.64*I211, 2)</f>
        <v/>
      </c>
      <c r="D211" s="19" t="n"/>
      <c r="E211" s="19" t="n"/>
      <c r="F211" s="19" t="n"/>
      <c r="G211" s="19">
        <f>G210-M211+D211</f>
        <v/>
      </c>
      <c r="H211" s="19">
        <f>H210-M211</f>
        <v/>
      </c>
      <c r="I211" s="20" t="n">
        <v>1</v>
      </c>
      <c r="J211" s="19">
        <f>ROUND((G210)*0.009/12 +D211* F211*0.009/12, 2)</f>
        <v/>
      </c>
      <c r="K211" s="19" t="n"/>
      <c r="L211" s="28" t="n">
        <v>27.56</v>
      </c>
      <c r="M211" s="19">
        <f>C211-J211</f>
        <v/>
      </c>
      <c r="N211" s="19">
        <f>B211-M211</f>
        <v/>
      </c>
      <c r="O211" s="19">
        <f>J211+K211+L211</f>
        <v/>
      </c>
    </row>
    <row r="212" ht="15.75" customHeight="1">
      <c r="A212" s="27" t="n">
        <v>50627</v>
      </c>
      <c r="B212" s="19" t="n">
        <v>1056.64000000002</v>
      </c>
      <c r="C212" s="19">
        <f>ROUND(1056.64*I212, 2)</f>
        <v/>
      </c>
      <c r="D212" s="19" t="n"/>
      <c r="E212" s="19" t="n"/>
      <c r="F212" s="19" t="n"/>
      <c r="G212" s="19">
        <f>G211-M212+D212</f>
        <v/>
      </c>
      <c r="H212" s="19">
        <f>H211-M212</f>
        <v/>
      </c>
      <c r="I212" s="20" t="n">
        <v>1</v>
      </c>
      <c r="J212" s="19">
        <f>ROUND((G211)*0.009/12 +D212* F212*0.009/12, 2)</f>
        <v/>
      </c>
      <c r="K212" s="19" t="n"/>
      <c r="L212" s="28" t="n">
        <v>27.56</v>
      </c>
      <c r="M212" s="19">
        <f>C212-J212</f>
        <v/>
      </c>
      <c r="N212" s="19">
        <f>B212-M212</f>
        <v/>
      </c>
      <c r="O212" s="19">
        <f>J212+K212+L212</f>
        <v/>
      </c>
    </row>
    <row r="213" ht="15.75" customHeight="1">
      <c r="A213" s="27" t="n">
        <v>50658</v>
      </c>
      <c r="B213" s="19" t="n">
        <v>1056.64000000002</v>
      </c>
      <c r="C213" s="19">
        <f>ROUND(1056.64*I213, 2)</f>
        <v/>
      </c>
      <c r="D213" s="19" t="n"/>
      <c r="E213" s="19" t="n"/>
      <c r="F213" s="19" t="n"/>
      <c r="G213" s="19">
        <f>G212-M213+D213</f>
        <v/>
      </c>
      <c r="H213" s="19">
        <f>H212-M213</f>
        <v/>
      </c>
      <c r="I213" s="20" t="n">
        <v>1</v>
      </c>
      <c r="J213" s="19">
        <f>ROUND((G212)*0.009/12 +D213* F213*0.009/12, 2)</f>
        <v/>
      </c>
      <c r="K213" s="19" t="n"/>
      <c r="L213" s="28" t="n">
        <v>27.56</v>
      </c>
      <c r="M213" s="19">
        <f>C213-J213</f>
        <v/>
      </c>
      <c r="N213" s="19">
        <f>B213-M213</f>
        <v/>
      </c>
      <c r="O213" s="19">
        <f>J213+K213+L213</f>
        <v/>
      </c>
    </row>
    <row r="214" ht="15.75" customHeight="1">
      <c r="A214" s="27" t="n">
        <v>50688</v>
      </c>
      <c r="B214" s="19" t="n">
        <v>1056.64000000002</v>
      </c>
      <c r="C214" s="19">
        <f>ROUND(1056.64*I214, 2)</f>
        <v/>
      </c>
      <c r="D214" s="19" t="n"/>
      <c r="E214" s="19" t="n"/>
      <c r="F214" s="19" t="n"/>
      <c r="G214" s="19">
        <f>G213-M214+D214</f>
        <v/>
      </c>
      <c r="H214" s="19">
        <f>H213-M214</f>
        <v/>
      </c>
      <c r="I214" s="20" t="n">
        <v>1</v>
      </c>
      <c r="J214" s="19">
        <f>ROUND((G213)*0.009/12 +D214* F214*0.009/12, 2)</f>
        <v/>
      </c>
      <c r="K214" s="19" t="n"/>
      <c r="L214" s="28" t="n">
        <v>27.56</v>
      </c>
      <c r="M214" s="19">
        <f>C214-J214</f>
        <v/>
      </c>
      <c r="N214" s="19">
        <f>B214-M214</f>
        <v/>
      </c>
      <c r="O214" s="19">
        <f>J214+K214+L214</f>
        <v/>
      </c>
    </row>
    <row r="215" ht="15.75" customHeight="1">
      <c r="A215" s="27" t="n">
        <v>50719</v>
      </c>
      <c r="B215" s="19" t="n">
        <v>1056.64000000002</v>
      </c>
      <c r="C215" s="19">
        <f>ROUND(1056.64*I215, 2)</f>
        <v/>
      </c>
      <c r="D215" s="19" t="n"/>
      <c r="E215" s="19" t="n"/>
      <c r="F215" s="19" t="n"/>
      <c r="G215" s="19">
        <f>G214-M215+D215</f>
        <v/>
      </c>
      <c r="H215" s="19">
        <f>H214-M215</f>
        <v/>
      </c>
      <c r="I215" s="20" t="n">
        <v>1</v>
      </c>
      <c r="J215" s="19">
        <f>ROUND((G214)*0.009/12 +D215* F215*0.009/12, 2)</f>
        <v/>
      </c>
      <c r="K215" s="19" t="n"/>
      <c r="L215" s="28" t="n">
        <v>27.56</v>
      </c>
      <c r="M215" s="19">
        <f>C215-J215</f>
        <v/>
      </c>
      <c r="N215" s="19">
        <f>B215-M215</f>
        <v/>
      </c>
      <c r="O215" s="19">
        <f>J215+K215+L215</f>
        <v/>
      </c>
    </row>
    <row r="216" ht="15.75" customHeight="1">
      <c r="A216" s="27" t="n">
        <v>50749</v>
      </c>
      <c r="B216" s="19" t="n">
        <v>1056.64000000002</v>
      </c>
      <c r="C216" s="19">
        <f>ROUND(1056.64*I216, 2)</f>
        <v/>
      </c>
      <c r="D216" s="19" t="n"/>
      <c r="E216" s="19" t="n"/>
      <c r="F216" s="19" t="n"/>
      <c r="G216" s="19">
        <f>G215-M216+D216</f>
        <v/>
      </c>
      <c r="H216" s="19">
        <f>H215-M216</f>
        <v/>
      </c>
      <c r="I216" s="20" t="n">
        <v>1</v>
      </c>
      <c r="J216" s="19">
        <f>ROUND((G215)*0.009/12 +D216* F216*0.009/12, 2)</f>
        <v/>
      </c>
      <c r="K216" s="19" t="n"/>
      <c r="L216" s="28" t="n">
        <v>27.56</v>
      </c>
      <c r="M216" s="19">
        <f>C216-J216</f>
        <v/>
      </c>
      <c r="N216" s="19">
        <f>B216-M216</f>
        <v/>
      </c>
      <c r="O216" s="19">
        <f>J216+K216+L216</f>
        <v/>
      </c>
    </row>
    <row r="217" ht="15.75" customHeight="1">
      <c r="A217" s="27" t="n">
        <v>50780</v>
      </c>
      <c r="B217" s="19" t="n">
        <v>1056.64000000002</v>
      </c>
      <c r="C217" s="19">
        <f>ROUND(1056.64*I217, 2)</f>
        <v/>
      </c>
      <c r="D217" s="19" t="n"/>
      <c r="E217" s="19" t="n"/>
      <c r="F217" s="19" t="n"/>
      <c r="G217" s="19">
        <f>G216-M217+D217</f>
        <v/>
      </c>
      <c r="H217" s="19">
        <f>H216-M217</f>
        <v/>
      </c>
      <c r="I217" s="20" t="n">
        <v>1</v>
      </c>
      <c r="J217" s="19">
        <f>ROUND((G216)*0.009/12 +D217* F217*0.009/12, 2)</f>
        <v/>
      </c>
      <c r="K217" s="19" t="n"/>
      <c r="L217" s="28" t="n">
        <v>27.56</v>
      </c>
      <c r="M217" s="19">
        <f>C217-J217</f>
        <v/>
      </c>
      <c r="N217" s="19">
        <f>B217-M217</f>
        <v/>
      </c>
      <c r="O217" s="19">
        <f>J217+K217+L217</f>
        <v/>
      </c>
    </row>
    <row r="218" ht="15.75" customHeight="1">
      <c r="A218" s="27" t="n">
        <v>50811</v>
      </c>
      <c r="B218" s="19" t="n">
        <v>1056.64000000002</v>
      </c>
      <c r="C218" s="19">
        <f>ROUND(1056.64*I218, 2)</f>
        <v/>
      </c>
      <c r="D218" s="19" t="n"/>
      <c r="E218" s="19" t="n"/>
      <c r="F218" s="19" t="n"/>
      <c r="G218" s="19">
        <f>G217-M218+D218</f>
        <v/>
      </c>
      <c r="H218" s="19">
        <f>H217-M218</f>
        <v/>
      </c>
      <c r="I218" s="20" t="n">
        <v>1</v>
      </c>
      <c r="J218" s="19">
        <f>ROUND((G217)*0.009/12 +D218* F218*0.009/12, 2)</f>
        <v/>
      </c>
      <c r="K218" s="19" t="n"/>
      <c r="L218" s="28" t="n">
        <v>27.56</v>
      </c>
      <c r="M218" s="19">
        <f>C218-J218</f>
        <v/>
      </c>
      <c r="N218" s="19">
        <f>B218-M218</f>
        <v/>
      </c>
      <c r="O218" s="19">
        <f>J218+K218+L218</f>
        <v/>
      </c>
    </row>
    <row r="219" ht="15.75" customHeight="1">
      <c r="A219" s="27" t="n">
        <v>50839</v>
      </c>
      <c r="B219" s="19" t="n">
        <v>1056.64000000002</v>
      </c>
      <c r="C219" s="19">
        <f>ROUND(1056.64*I219, 2)</f>
        <v/>
      </c>
      <c r="D219" s="19" t="n"/>
      <c r="E219" s="19" t="n"/>
      <c r="F219" s="19" t="n"/>
      <c r="G219" s="19">
        <f>G218-M219+D219</f>
        <v/>
      </c>
      <c r="H219" s="19">
        <f>H218-M219</f>
        <v/>
      </c>
      <c r="I219" s="20" t="n">
        <v>1</v>
      </c>
      <c r="J219" s="19">
        <f>ROUND((G218)*0.009/12 +D219* F219*0.009/12, 2)</f>
        <v/>
      </c>
      <c r="K219" s="19" t="n"/>
      <c r="L219" s="28" t="n">
        <v>27.56</v>
      </c>
      <c r="M219" s="19">
        <f>C219-J219</f>
        <v/>
      </c>
      <c r="N219" s="19">
        <f>B219-M219</f>
        <v/>
      </c>
      <c r="O219" s="19">
        <f>J219+K219+L219</f>
        <v/>
      </c>
    </row>
    <row r="220" ht="15.75" customHeight="1">
      <c r="A220" s="27" t="n">
        <v>50870</v>
      </c>
      <c r="B220" s="19" t="n">
        <v>1056.64000000002</v>
      </c>
      <c r="C220" s="19">
        <f>ROUND(1056.64*I220, 2)</f>
        <v/>
      </c>
      <c r="D220" s="19" t="n"/>
      <c r="E220" s="19" t="n"/>
      <c r="F220" s="19" t="n"/>
      <c r="G220" s="19">
        <f>G219-M220+D220</f>
        <v/>
      </c>
      <c r="H220" s="19">
        <f>H219-M220</f>
        <v/>
      </c>
      <c r="I220" s="20" t="n">
        <v>1</v>
      </c>
      <c r="J220" s="19">
        <f>ROUND((G219)*0.009/12 +D220* F220*0.009/12, 2)</f>
        <v/>
      </c>
      <c r="K220" s="19" t="n"/>
      <c r="L220" s="28" t="n">
        <v>27.56</v>
      </c>
      <c r="M220" s="19">
        <f>C220-J220</f>
        <v/>
      </c>
      <c r="N220" s="19">
        <f>B220-M220</f>
        <v/>
      </c>
      <c r="O220" s="19">
        <f>J220+K220+L220</f>
        <v/>
      </c>
    </row>
    <row r="221" ht="15.75" customHeight="1">
      <c r="A221" s="27" t="n">
        <v>50900</v>
      </c>
      <c r="B221" s="19" t="n">
        <v>1056.64000000002</v>
      </c>
      <c r="C221" s="19">
        <f>ROUND(1056.64*I221, 2)</f>
        <v/>
      </c>
      <c r="D221" s="19" t="n"/>
      <c r="E221" s="19" t="n"/>
      <c r="F221" s="19" t="n"/>
      <c r="G221" s="19">
        <f>G220-M221+D221</f>
        <v/>
      </c>
      <c r="H221" s="19">
        <f>H220-M221</f>
        <v/>
      </c>
      <c r="I221" s="20" t="n">
        <v>1</v>
      </c>
      <c r="J221" s="19">
        <f>ROUND((G220)*0.009/12 +D221* F221*0.009/12, 2)</f>
        <v/>
      </c>
      <c r="K221" s="19" t="n"/>
      <c r="L221" s="28" t="n">
        <v>27.56</v>
      </c>
      <c r="M221" s="19">
        <f>C221-J221</f>
        <v/>
      </c>
      <c r="N221" s="19">
        <f>B221-M221</f>
        <v/>
      </c>
      <c r="O221" s="19">
        <f>J221+K221+L221</f>
        <v/>
      </c>
    </row>
    <row r="222" ht="15.75" customHeight="1">
      <c r="A222" s="27" t="n">
        <v>50931</v>
      </c>
      <c r="B222" s="19" t="n">
        <v>1056.64000000002</v>
      </c>
      <c r="C222" s="19">
        <f>ROUND(1056.64*I222, 2)</f>
        <v/>
      </c>
      <c r="D222" s="19" t="n"/>
      <c r="E222" s="19" t="n"/>
      <c r="F222" s="19" t="n"/>
      <c r="G222" s="19">
        <f>G221-M222+D222</f>
        <v/>
      </c>
      <c r="H222" s="19">
        <f>H221-M222</f>
        <v/>
      </c>
      <c r="I222" s="20" t="n">
        <v>1</v>
      </c>
      <c r="J222" s="19">
        <f>ROUND((G221)*0.009/12 +D222* F222*0.009/12, 2)</f>
        <v/>
      </c>
      <c r="K222" s="19" t="n"/>
      <c r="L222" s="28" t="n">
        <v>27.56</v>
      </c>
      <c r="M222" s="19">
        <f>C222-J222</f>
        <v/>
      </c>
      <c r="N222" s="19">
        <f>B222-M222</f>
        <v/>
      </c>
      <c r="O222" s="19">
        <f>J222+K222+L222</f>
        <v/>
      </c>
    </row>
    <row r="223" ht="15.75" customHeight="1">
      <c r="A223" s="27" t="n">
        <v>50961</v>
      </c>
      <c r="B223" s="19" t="n">
        <v>1056.64000000002</v>
      </c>
      <c r="C223" s="19">
        <f>ROUND(1056.64*I223, 2)</f>
        <v/>
      </c>
      <c r="D223" s="19" t="n"/>
      <c r="E223" s="19" t="n"/>
      <c r="F223" s="19" t="n"/>
      <c r="G223" s="19">
        <f>G222-M223+D223</f>
        <v/>
      </c>
      <c r="H223" s="19">
        <f>H222-M223</f>
        <v/>
      </c>
      <c r="I223" s="20" t="n">
        <v>1</v>
      </c>
      <c r="J223" s="19">
        <f>ROUND((G222)*0.009/12 +D223* F223*0.009/12, 2)</f>
        <v/>
      </c>
      <c r="K223" s="19" t="n"/>
      <c r="L223" s="28" t="n">
        <v>27.56</v>
      </c>
      <c r="M223" s="19">
        <f>C223-J223</f>
        <v/>
      </c>
      <c r="N223" s="19">
        <f>B223-M223</f>
        <v/>
      </c>
      <c r="O223" s="19">
        <f>J223+K223+L223</f>
        <v/>
      </c>
    </row>
    <row r="224" ht="15.75" customHeight="1">
      <c r="A224" s="27" t="n">
        <v>50992</v>
      </c>
      <c r="B224" s="19" t="n">
        <v>1056.64000000002</v>
      </c>
      <c r="C224" s="19">
        <f>ROUND(1056.64*I224, 2)</f>
        <v/>
      </c>
      <c r="D224" s="19" t="n"/>
      <c r="E224" s="19" t="n"/>
      <c r="F224" s="19" t="n"/>
      <c r="G224" s="19">
        <f>G223-M224+D224</f>
        <v/>
      </c>
      <c r="H224" s="19">
        <f>H223-M224</f>
        <v/>
      </c>
      <c r="I224" s="20" t="n">
        <v>1</v>
      </c>
      <c r="J224" s="19">
        <f>ROUND((G223)*0.009/12 +D224* F224*0.009/12, 2)</f>
        <v/>
      </c>
      <c r="K224" s="19" t="n"/>
      <c r="L224" s="28" t="n">
        <v>27.56</v>
      </c>
      <c r="M224" s="19">
        <f>C224-J224</f>
        <v/>
      </c>
      <c r="N224" s="19">
        <f>B224-M224</f>
        <v/>
      </c>
      <c r="O224" s="19">
        <f>J224+K224+L224</f>
        <v/>
      </c>
    </row>
    <row r="225" ht="15.75" customHeight="1">
      <c r="A225" s="27" t="n">
        <v>51023</v>
      </c>
      <c r="B225" s="19" t="n">
        <v>1056.64000000002</v>
      </c>
      <c r="C225" s="19">
        <f>ROUND(1056.64*I225, 2)</f>
        <v/>
      </c>
      <c r="D225" s="19" t="n"/>
      <c r="E225" s="19" t="n"/>
      <c r="F225" s="19" t="n"/>
      <c r="G225" s="19">
        <f>G224-M225+D225</f>
        <v/>
      </c>
      <c r="H225" s="19">
        <f>H224-M225</f>
        <v/>
      </c>
      <c r="I225" s="20" t="n">
        <v>1</v>
      </c>
      <c r="J225" s="19">
        <f>ROUND((G224)*0.009/12 +D225* F225*0.009/12, 2)</f>
        <v/>
      </c>
      <c r="K225" s="19" t="n"/>
      <c r="L225" s="28" t="n">
        <v>27.56</v>
      </c>
      <c r="M225" s="19">
        <f>C225-J225</f>
        <v/>
      </c>
      <c r="N225" s="19">
        <f>B225-M225</f>
        <v/>
      </c>
      <c r="O225" s="19">
        <f>J225+K225+L225</f>
        <v/>
      </c>
    </row>
    <row r="226" ht="15.75" customHeight="1">
      <c r="A226" s="27" t="n">
        <v>51053</v>
      </c>
      <c r="B226" s="19" t="n">
        <v>1056.64000000002</v>
      </c>
      <c r="C226" s="19">
        <f>ROUND(1056.64*I226, 2)</f>
        <v/>
      </c>
      <c r="D226" s="19" t="n"/>
      <c r="E226" s="19" t="n"/>
      <c r="F226" s="19" t="n"/>
      <c r="G226" s="19">
        <f>G225-M226+D226</f>
        <v/>
      </c>
      <c r="H226" s="19">
        <f>H225-M226</f>
        <v/>
      </c>
      <c r="I226" s="20" t="n">
        <v>1</v>
      </c>
      <c r="J226" s="19">
        <f>ROUND((G225)*0.009/12 +D226* F226*0.009/12, 2)</f>
        <v/>
      </c>
      <c r="K226" s="19" t="n"/>
      <c r="L226" s="28" t="n">
        <v>27.56</v>
      </c>
      <c r="M226" s="19">
        <f>C226-J226</f>
        <v/>
      </c>
      <c r="N226" s="19">
        <f>B226-M226</f>
        <v/>
      </c>
      <c r="O226" s="19">
        <f>J226+K226+L226</f>
        <v/>
      </c>
    </row>
    <row r="227" ht="15.75" customHeight="1">
      <c r="A227" s="27" t="n">
        <v>51084</v>
      </c>
      <c r="B227" s="19" t="n">
        <v>1056.64000000002</v>
      </c>
      <c r="C227" s="19">
        <f>ROUND(1056.64*I227, 2)</f>
        <v/>
      </c>
      <c r="D227" s="19" t="n"/>
      <c r="E227" s="19" t="n"/>
      <c r="F227" s="19" t="n"/>
      <c r="G227" s="19">
        <f>G226-M227+D227</f>
        <v/>
      </c>
      <c r="H227" s="19">
        <f>H226-M227</f>
        <v/>
      </c>
      <c r="I227" s="20" t="n">
        <v>1</v>
      </c>
      <c r="J227" s="19">
        <f>ROUND((G226)*0.009/12 +D227* F227*0.009/12, 2)</f>
        <v/>
      </c>
      <c r="K227" s="19" t="n"/>
      <c r="L227" s="28" t="n">
        <v>27.56</v>
      </c>
      <c r="M227" s="19">
        <f>C227-J227</f>
        <v/>
      </c>
      <c r="N227" s="19">
        <f>B227-M227</f>
        <v/>
      </c>
      <c r="O227" s="19">
        <f>J227+K227+L227</f>
        <v/>
      </c>
    </row>
    <row r="228" ht="15.75" customHeight="1">
      <c r="A228" s="27" t="n">
        <v>51114</v>
      </c>
      <c r="B228" s="19" t="n">
        <v>1056.64000000002</v>
      </c>
      <c r="C228" s="19">
        <f>ROUND(1056.64*I228, 2)</f>
        <v/>
      </c>
      <c r="D228" s="19" t="n"/>
      <c r="E228" s="19" t="n"/>
      <c r="F228" s="19" t="n"/>
      <c r="G228" s="19">
        <f>G227-M228+D228</f>
        <v/>
      </c>
      <c r="H228" s="19">
        <f>H227-M228</f>
        <v/>
      </c>
      <c r="I228" s="20" t="n">
        <v>1</v>
      </c>
      <c r="J228" s="19">
        <f>ROUND((G227)*0.009/12 +D228* F228*0.009/12, 2)</f>
        <v/>
      </c>
      <c r="K228" s="19" t="n"/>
      <c r="L228" s="28" t="n">
        <v>27.56</v>
      </c>
      <c r="M228" s="19">
        <f>C228-J228</f>
        <v/>
      </c>
      <c r="N228" s="19">
        <f>B228-M228</f>
        <v/>
      </c>
      <c r="O228" s="19">
        <f>J228+K228+L228</f>
        <v/>
      </c>
    </row>
    <row r="229" ht="15.75" customHeight="1">
      <c r="A229" s="27" t="n">
        <v>51145</v>
      </c>
      <c r="B229" s="19" t="n">
        <v>1056.64000000002</v>
      </c>
      <c r="C229" s="19">
        <f>ROUND(1056.64*I229, 2)</f>
        <v/>
      </c>
      <c r="D229" s="19" t="n"/>
      <c r="E229" s="19" t="n"/>
      <c r="F229" s="19" t="n"/>
      <c r="G229" s="19">
        <f>G228-M229+D229</f>
        <v/>
      </c>
      <c r="H229" s="19">
        <f>H228-M229</f>
        <v/>
      </c>
      <c r="I229" s="20" t="n">
        <v>1</v>
      </c>
      <c r="J229" s="19">
        <f>ROUND((G228)*0.009/12 +D229* F229*0.009/12, 2)</f>
        <v/>
      </c>
      <c r="K229" s="19" t="n"/>
      <c r="L229" s="28" t="n">
        <v>27.56</v>
      </c>
      <c r="M229" s="19">
        <f>C229-J229</f>
        <v/>
      </c>
      <c r="N229" s="19">
        <f>B229-M229</f>
        <v/>
      </c>
      <c r="O229" s="19">
        <f>J229+K229+L229</f>
        <v/>
      </c>
    </row>
    <row r="230" ht="15.75" customHeight="1">
      <c r="A230" s="27" t="n">
        <v>51176</v>
      </c>
      <c r="B230" s="19" t="n">
        <v>1056.64000000002</v>
      </c>
      <c r="C230" s="19">
        <f>ROUND(1056.64*I230, 2)</f>
        <v/>
      </c>
      <c r="D230" s="19" t="n"/>
      <c r="E230" s="19" t="n"/>
      <c r="F230" s="19" t="n"/>
      <c r="G230" s="19">
        <f>G229-M230+D230</f>
        <v/>
      </c>
      <c r="H230" s="19">
        <f>H229-M230</f>
        <v/>
      </c>
      <c r="I230" s="20" t="n">
        <v>1</v>
      </c>
      <c r="J230" s="19">
        <f>ROUND((G229)*0.009/12 +D230* F230*0.009/12, 2)</f>
        <v/>
      </c>
      <c r="K230" s="19" t="n"/>
      <c r="L230" s="28" t="n">
        <v>27.56</v>
      </c>
      <c r="M230" s="19">
        <f>C230-J230</f>
        <v/>
      </c>
      <c r="N230" s="19">
        <f>B230-M230</f>
        <v/>
      </c>
      <c r="O230" s="19">
        <f>J230+K230+L230</f>
        <v/>
      </c>
    </row>
    <row r="231" ht="15.75" customHeight="1">
      <c r="A231" s="27" t="n">
        <v>51205</v>
      </c>
      <c r="B231" s="19" t="n">
        <v>1056.64000000002</v>
      </c>
      <c r="C231" s="19">
        <f>ROUND(1056.64*I231, 2)</f>
        <v/>
      </c>
      <c r="D231" s="19" t="n"/>
      <c r="E231" s="19" t="n"/>
      <c r="F231" s="19" t="n"/>
      <c r="G231" s="19">
        <f>G230-M231+D231</f>
        <v/>
      </c>
      <c r="H231" s="19">
        <f>H230-M231</f>
        <v/>
      </c>
      <c r="I231" s="20" t="n">
        <v>1</v>
      </c>
      <c r="J231" s="19">
        <f>ROUND((G230)*0.009/12 +D231* F231*0.009/12, 2)</f>
        <v/>
      </c>
      <c r="K231" s="19" t="n"/>
      <c r="L231" s="28" t="n">
        <v>27.56</v>
      </c>
      <c r="M231" s="19">
        <f>C231-J231</f>
        <v/>
      </c>
      <c r="N231" s="19">
        <f>B231-M231</f>
        <v/>
      </c>
      <c r="O231" s="19">
        <f>J231+K231+L231</f>
        <v/>
      </c>
    </row>
    <row r="232" ht="15.75" customHeight="1">
      <c r="A232" s="27" t="n">
        <v>51236</v>
      </c>
      <c r="B232" s="19" t="n">
        <v>1056.64000000002</v>
      </c>
      <c r="C232" s="19">
        <f>ROUND(1056.64*I232, 2)</f>
        <v/>
      </c>
      <c r="D232" s="19" t="n"/>
      <c r="E232" s="19" t="n"/>
      <c r="F232" s="19" t="n"/>
      <c r="G232" s="19">
        <f>G231-M232+D232</f>
        <v/>
      </c>
      <c r="H232" s="19">
        <f>H231-M232</f>
        <v/>
      </c>
      <c r="I232" s="20" t="n">
        <v>1</v>
      </c>
      <c r="J232" s="19">
        <f>ROUND((G231)*0.009/12 +D232* F232*0.009/12, 2)</f>
        <v/>
      </c>
      <c r="K232" s="19" t="n"/>
      <c r="L232" s="28" t="n">
        <v>27.56</v>
      </c>
      <c r="M232" s="19">
        <f>C232-J232</f>
        <v/>
      </c>
      <c r="N232" s="19">
        <f>B232-M232</f>
        <v/>
      </c>
      <c r="O232" s="19">
        <f>J232+K232+L232</f>
        <v/>
      </c>
    </row>
    <row r="233" ht="15.75" customHeight="1">
      <c r="A233" s="27" t="n">
        <v>51266</v>
      </c>
      <c r="B233" s="19" t="n">
        <v>1056.64000000002</v>
      </c>
      <c r="C233" s="19">
        <f>ROUND(1056.64*I233, 2)</f>
        <v/>
      </c>
      <c r="D233" s="19" t="n"/>
      <c r="E233" s="19" t="n"/>
      <c r="F233" s="19" t="n"/>
      <c r="G233" s="19">
        <f>G232-M233+D233</f>
        <v/>
      </c>
      <c r="H233" s="19">
        <f>H232-M233</f>
        <v/>
      </c>
      <c r="I233" s="20" t="n">
        <v>1</v>
      </c>
      <c r="J233" s="19">
        <f>ROUND((G232)*0.009/12 +D233* F233*0.009/12, 2)</f>
        <v/>
      </c>
      <c r="K233" s="19" t="n"/>
      <c r="L233" s="28" t="n">
        <v>27.5599999999999</v>
      </c>
      <c r="M233" s="19">
        <f>C233-J233</f>
        <v/>
      </c>
      <c r="N233" s="19">
        <f>B233-M233</f>
        <v/>
      </c>
      <c r="O233" s="19">
        <f>J233+K233+L233</f>
        <v/>
      </c>
    </row>
    <row r="234" ht="15.75" customHeight="1">
      <c r="A234" s="27" t="n">
        <v>51297</v>
      </c>
      <c r="B234" s="19" t="n">
        <v>1056.64000000002</v>
      </c>
      <c r="C234" s="19">
        <f>ROUND(1056.64*I234, 2)</f>
        <v/>
      </c>
      <c r="D234" s="19" t="n"/>
      <c r="E234" s="19" t="n"/>
      <c r="F234" s="19" t="n"/>
      <c r="G234" s="19">
        <f>G233-M234+D234</f>
        <v/>
      </c>
      <c r="H234" s="19">
        <f>H233-M234</f>
        <v/>
      </c>
      <c r="I234" s="20" t="n">
        <v>1</v>
      </c>
      <c r="J234" s="19">
        <f>ROUND((G233)*0.009/12 +D234* F234*0.009/12, 2)</f>
        <v/>
      </c>
      <c r="K234" s="19" t="n"/>
      <c r="L234" s="28" t="n">
        <v>27.5599999999999</v>
      </c>
      <c r="M234" s="19">
        <f>C234-J234</f>
        <v/>
      </c>
      <c r="N234" s="19">
        <f>B234-M234</f>
        <v/>
      </c>
      <c r="O234" s="19">
        <f>J234+K234+L234</f>
        <v/>
      </c>
    </row>
    <row r="235" ht="15.75" customHeight="1">
      <c r="A235" s="27" t="n">
        <v>51327</v>
      </c>
      <c r="B235" s="19" t="n">
        <v>1056.64000000002</v>
      </c>
      <c r="C235" s="19">
        <f>ROUND(1056.64*I235, 2)</f>
        <v/>
      </c>
      <c r="D235" s="19" t="n"/>
      <c r="E235" s="19" t="n"/>
      <c r="F235" s="19" t="n"/>
      <c r="G235" s="19">
        <f>G234-M235+D235</f>
        <v/>
      </c>
      <c r="H235" s="19">
        <f>H234-M235</f>
        <v/>
      </c>
      <c r="I235" s="20" t="n">
        <v>1</v>
      </c>
      <c r="J235" s="19">
        <f>ROUND((G234)*0.009/12 +D235* F235*0.009/12, 2)</f>
        <v/>
      </c>
      <c r="K235" s="19" t="n"/>
      <c r="L235" s="28" t="n">
        <v>27.5599999999999</v>
      </c>
      <c r="M235" s="19">
        <f>C235-J235</f>
        <v/>
      </c>
      <c r="N235" s="19">
        <f>B235-M235</f>
        <v/>
      </c>
      <c r="O235" s="19">
        <f>J235+K235+L235</f>
        <v/>
      </c>
    </row>
    <row r="236" ht="15.75" customHeight="1">
      <c r="A236" s="27" t="n">
        <v>51358</v>
      </c>
      <c r="B236" s="19" t="n">
        <v>1056.64000000002</v>
      </c>
      <c r="C236" s="19">
        <f>ROUND(1056.64*I236, 2)</f>
        <v/>
      </c>
      <c r="D236" s="19" t="n"/>
      <c r="E236" s="19" t="n"/>
      <c r="F236" s="19" t="n"/>
      <c r="G236" s="19">
        <f>G235-M236+D236</f>
        <v/>
      </c>
      <c r="H236" s="19">
        <f>H235-M236</f>
        <v/>
      </c>
      <c r="I236" s="20" t="n">
        <v>1</v>
      </c>
      <c r="J236" s="19">
        <f>ROUND((G235)*0.009/12 +D236* F236*0.009/12, 2)</f>
        <v/>
      </c>
      <c r="K236" s="19" t="n"/>
      <c r="L236" s="28" t="n">
        <v>27.5599999999999</v>
      </c>
      <c r="M236" s="19">
        <f>C236-J236</f>
        <v/>
      </c>
      <c r="N236" s="19">
        <f>B236-M236</f>
        <v/>
      </c>
      <c r="O236" s="19">
        <f>J236+K236+L236</f>
        <v/>
      </c>
    </row>
    <row r="237" ht="15.75" customHeight="1">
      <c r="A237" s="27" t="n">
        <v>51389</v>
      </c>
      <c r="B237" s="19" t="n">
        <v>1056.64000000002</v>
      </c>
      <c r="C237" s="19">
        <f>ROUND(1056.64*I237, 2)</f>
        <v/>
      </c>
      <c r="D237" s="19" t="n"/>
      <c r="E237" s="19" t="n"/>
      <c r="F237" s="19" t="n"/>
      <c r="G237" s="19">
        <f>G236-M237+D237</f>
        <v/>
      </c>
      <c r="H237" s="19">
        <f>H236-M237</f>
        <v/>
      </c>
      <c r="I237" s="20" t="n">
        <v>1</v>
      </c>
      <c r="J237" s="19">
        <f>ROUND((G236)*0.009/12 +D237* F237*0.009/12, 2)</f>
        <v/>
      </c>
      <c r="K237" s="19" t="n"/>
      <c r="L237" s="28" t="n">
        <v>27.5599999999999</v>
      </c>
      <c r="M237" s="19">
        <f>C237-J237</f>
        <v/>
      </c>
      <c r="N237" s="19">
        <f>B237-M237</f>
        <v/>
      </c>
      <c r="O237" s="19">
        <f>J237+K237+L237</f>
        <v/>
      </c>
    </row>
    <row r="238" ht="15.75" customHeight="1">
      <c r="A238" s="27" t="n">
        <v>51419</v>
      </c>
      <c r="B238" s="19" t="n">
        <v>1056.64000000002</v>
      </c>
      <c r="C238" s="19">
        <f>ROUND(1056.64*I238, 2)</f>
        <v/>
      </c>
      <c r="D238" s="19" t="n"/>
      <c r="E238" s="19" t="n"/>
      <c r="F238" s="19" t="n"/>
      <c r="G238" s="19">
        <f>G237-M238+D238</f>
        <v/>
      </c>
      <c r="H238" s="19">
        <f>H237-M238</f>
        <v/>
      </c>
      <c r="I238" s="20" t="n">
        <v>1</v>
      </c>
      <c r="J238" s="19">
        <f>ROUND((G237)*0.009/12 +D238* F238*0.009/12, 2)</f>
        <v/>
      </c>
      <c r="K238" s="19" t="n"/>
      <c r="L238" s="28" t="n">
        <v>27.5599999999999</v>
      </c>
      <c r="M238" s="19">
        <f>C238-J238</f>
        <v/>
      </c>
      <c r="N238" s="19">
        <f>B238-M238</f>
        <v/>
      </c>
      <c r="O238" s="19">
        <f>J238+K238+L238</f>
        <v/>
      </c>
    </row>
    <row r="239" ht="15.75" customHeight="1">
      <c r="A239" s="27" t="n">
        <v>51450</v>
      </c>
      <c r="B239" s="19" t="n">
        <v>1056.64000000002</v>
      </c>
      <c r="C239" s="19">
        <f>ROUND(1056.64*I239, 2)</f>
        <v/>
      </c>
      <c r="D239" s="19" t="n"/>
      <c r="E239" s="19" t="n"/>
      <c r="F239" s="19" t="n"/>
      <c r="G239" s="19">
        <f>G238-M239+D239</f>
        <v/>
      </c>
      <c r="H239" s="19">
        <f>H238-M239</f>
        <v/>
      </c>
      <c r="I239" s="20" t="n">
        <v>1</v>
      </c>
      <c r="J239" s="19">
        <f>ROUND((G238)*0.009/12 +D239* F239*0.009/12, 2)</f>
        <v/>
      </c>
      <c r="K239" s="19" t="n"/>
      <c r="L239" s="28" t="n">
        <v>27.5599999999999</v>
      </c>
      <c r="M239" s="19">
        <f>C239-J239</f>
        <v/>
      </c>
      <c r="N239" s="19">
        <f>B239-M239</f>
        <v/>
      </c>
      <c r="O239" s="19">
        <f>J239+K239+L239</f>
        <v/>
      </c>
    </row>
    <row r="240" ht="15.75" customHeight="1">
      <c r="A240" s="27" t="n">
        <v>51480</v>
      </c>
      <c r="B240" s="19" t="n">
        <v>1056.64000000002</v>
      </c>
      <c r="C240" s="19">
        <f>ROUND(1056.64*I240, 2)</f>
        <v/>
      </c>
      <c r="D240" s="19" t="n"/>
      <c r="E240" s="19" t="n"/>
      <c r="F240" s="19" t="n"/>
      <c r="G240" s="19">
        <f>G239-M240+D240</f>
        <v/>
      </c>
      <c r="H240" s="19">
        <f>H239-M240</f>
        <v/>
      </c>
      <c r="I240" s="20" t="n">
        <v>1</v>
      </c>
      <c r="J240" s="19">
        <f>ROUND((G239)*0.009/12 +D240* F240*0.009/12, 2)</f>
        <v/>
      </c>
      <c r="K240" s="19" t="n"/>
      <c r="L240" s="28" t="n">
        <v>27.5599999999999</v>
      </c>
      <c r="M240" s="19">
        <f>C240-J240</f>
        <v/>
      </c>
      <c r="N240" s="19">
        <f>B240-M240</f>
        <v/>
      </c>
      <c r="O240" s="19">
        <f>J240+K240+L240</f>
        <v/>
      </c>
    </row>
    <row r="241" ht="15.75" customHeight="1">
      <c r="A241" s="27" t="n">
        <v>51511</v>
      </c>
      <c r="B241" s="19" t="n">
        <v>1056.64000000002</v>
      </c>
      <c r="C241" s="19">
        <f>ROUND(1056.64*I241, 2)</f>
        <v/>
      </c>
      <c r="D241" s="19" t="n"/>
      <c r="E241" s="19" t="n"/>
      <c r="F241" s="19" t="n"/>
      <c r="G241" s="19">
        <f>G240-M241+D241</f>
        <v/>
      </c>
      <c r="H241" s="19">
        <f>H240-M241</f>
        <v/>
      </c>
      <c r="I241" s="20" t="n">
        <v>1</v>
      </c>
      <c r="J241" s="19">
        <f>ROUND((G240)*0.009/12 +D241* F241*0.009/12, 2)</f>
        <v/>
      </c>
      <c r="K241" s="19" t="n"/>
      <c r="L241" s="28" t="n">
        <v>27.5599999999999</v>
      </c>
      <c r="M241" s="19">
        <f>C241-J241</f>
        <v/>
      </c>
      <c r="N241" s="19">
        <f>B241-M241</f>
        <v/>
      </c>
      <c r="O241" s="19">
        <f>J241+K241+L241</f>
        <v/>
      </c>
    </row>
    <row r="242" ht="15.75" customHeight="1">
      <c r="A242" s="27" t="n">
        <v>51542</v>
      </c>
      <c r="B242" s="19" t="n">
        <v>1056.64000000002</v>
      </c>
      <c r="C242" s="19">
        <f>ROUND(1056.64*I242, 2)</f>
        <v/>
      </c>
      <c r="D242" s="19" t="n"/>
      <c r="E242" s="19" t="n"/>
      <c r="F242" s="19" t="n"/>
      <c r="G242" s="19">
        <f>G241-M242+D242</f>
        <v/>
      </c>
      <c r="H242" s="19">
        <f>H241-M242</f>
        <v/>
      </c>
      <c r="I242" s="20" t="n">
        <v>1</v>
      </c>
      <c r="J242" s="19">
        <f>ROUND((G241)*0.009/12 +D242* F242*0.009/12, 2)</f>
        <v/>
      </c>
      <c r="K242" s="19" t="n"/>
      <c r="L242" s="28" t="n">
        <v>27.5599999999999</v>
      </c>
      <c r="M242" s="19">
        <f>C242-J242</f>
        <v/>
      </c>
      <c r="N242" s="19">
        <f>B242-M242</f>
        <v/>
      </c>
      <c r="O242" s="19">
        <f>J242+K242+L242</f>
        <v/>
      </c>
    </row>
    <row r="243" ht="15.75" customHeight="1">
      <c r="A243" s="27" t="n">
        <v>51570</v>
      </c>
      <c r="B243" s="19" t="n">
        <v>1056.64000000002</v>
      </c>
      <c r="C243" s="19">
        <f>ROUND(1056.64*I243, 2)</f>
        <v/>
      </c>
      <c r="D243" s="19" t="n"/>
      <c r="E243" s="19" t="n"/>
      <c r="F243" s="19" t="n"/>
      <c r="G243" s="19">
        <f>G242-M243+D243</f>
        <v/>
      </c>
      <c r="H243" s="19">
        <f>H242-M243</f>
        <v/>
      </c>
      <c r="I243" s="20" t="n">
        <v>1</v>
      </c>
      <c r="J243" s="19">
        <f>ROUND((G242)*0.009/12 +D243* F243*0.009/12, 2)</f>
        <v/>
      </c>
      <c r="K243" s="19" t="n"/>
      <c r="L243" s="28" t="n">
        <v>27.5599999999999</v>
      </c>
      <c r="M243" s="19">
        <f>C243-J243</f>
        <v/>
      </c>
      <c r="N243" s="19">
        <f>B243-M243</f>
        <v/>
      </c>
      <c r="O243" s="19">
        <f>J243+K243+L243</f>
        <v/>
      </c>
    </row>
    <row r="244" ht="15.75" customHeight="1">
      <c r="A244" s="27" t="n">
        <v>51601</v>
      </c>
      <c r="B244" s="19" t="n">
        <v>1056.64000000002</v>
      </c>
      <c r="C244" s="19">
        <f>ROUND(1056.64*I244, 2)</f>
        <v/>
      </c>
      <c r="D244" s="19" t="n"/>
      <c r="E244" s="19" t="n"/>
      <c r="F244" s="19" t="n"/>
      <c r="G244" s="19">
        <f>G243-M244+D244</f>
        <v/>
      </c>
      <c r="H244" s="19">
        <f>H243-M244</f>
        <v/>
      </c>
      <c r="I244" s="20" t="n">
        <v>1</v>
      </c>
      <c r="J244" s="19">
        <f>ROUND((G243)*0.009/12 +D244* F244*0.009/12, 2)</f>
        <v/>
      </c>
      <c r="K244" s="19" t="n"/>
      <c r="L244" s="28" t="n">
        <v>27.5599999999999</v>
      </c>
      <c r="M244" s="19">
        <f>C244-J244</f>
        <v/>
      </c>
      <c r="N244" s="19">
        <f>B244-M244</f>
        <v/>
      </c>
      <c r="O244" s="19">
        <f>J244+K244+L244</f>
        <v/>
      </c>
    </row>
    <row r="245" ht="15.75" customHeight="1">
      <c r="A245" s="27" t="n">
        <v>51631</v>
      </c>
      <c r="B245" s="19" t="n">
        <v>1056.64000000002</v>
      </c>
      <c r="C245" s="19">
        <f>ROUND(1056.64*I245, 2)</f>
        <v/>
      </c>
      <c r="D245" s="19" t="n"/>
      <c r="E245" s="19" t="n"/>
      <c r="F245" s="19" t="n"/>
      <c r="G245" s="19">
        <f>G244-M245+D245</f>
        <v/>
      </c>
      <c r="H245" s="19">
        <f>H244-M245</f>
        <v/>
      </c>
      <c r="I245" s="20" t="n">
        <v>1</v>
      </c>
      <c r="J245" s="19">
        <f>ROUND((G244)*0.009/12 +D245* F245*0.009/12, 2)</f>
        <v/>
      </c>
      <c r="K245" s="19" t="n"/>
      <c r="L245" s="28" t="n">
        <v>27.5599999999999</v>
      </c>
      <c r="M245" s="19">
        <f>C245-J245</f>
        <v/>
      </c>
      <c r="N245" s="19">
        <f>B245-M245</f>
        <v/>
      </c>
      <c r="O245" s="19">
        <f>J245+K245+L245</f>
        <v/>
      </c>
    </row>
    <row r="246" ht="15.75" customHeight="1">
      <c r="A246" s="27" t="n">
        <v>51662</v>
      </c>
      <c r="B246" s="19" t="n">
        <v>1056.64000000002</v>
      </c>
      <c r="C246" s="19">
        <f>ROUND(1056.64*I246, 2)</f>
        <v/>
      </c>
      <c r="D246" s="19" t="n"/>
      <c r="E246" s="19" t="n"/>
      <c r="F246" s="19" t="n"/>
      <c r="G246" s="19">
        <f>G245-M246+D246</f>
        <v/>
      </c>
      <c r="H246" s="19">
        <f>H245-M246</f>
        <v/>
      </c>
      <c r="I246" s="20" t="n">
        <v>1</v>
      </c>
      <c r="J246" s="19">
        <f>ROUND((G245)*0.009/12 +D246* F246*0.009/12, 2)</f>
        <v/>
      </c>
      <c r="K246" s="19" t="n"/>
      <c r="L246" s="28" t="n">
        <v>27.5599999999999</v>
      </c>
      <c r="M246" s="19">
        <f>C246-J246</f>
        <v/>
      </c>
      <c r="N246" s="19">
        <f>B246-M246</f>
        <v/>
      </c>
      <c r="O246" s="19">
        <f>J246+K246+L246</f>
        <v/>
      </c>
    </row>
    <row r="247" ht="15.75" customHeight="1">
      <c r="A247" s="27" t="n">
        <v>51692</v>
      </c>
      <c r="B247" s="19" t="n">
        <v>1056.64000000002</v>
      </c>
      <c r="C247" s="19">
        <f>ROUND(1056.64*I247, 2)</f>
        <v/>
      </c>
      <c r="D247" s="19" t="n"/>
      <c r="E247" s="19" t="n"/>
      <c r="F247" s="19" t="n"/>
      <c r="G247" s="19">
        <f>G246-M247+D247</f>
        <v/>
      </c>
      <c r="H247" s="19">
        <f>H246-M247</f>
        <v/>
      </c>
      <c r="I247" s="20" t="n">
        <v>1</v>
      </c>
      <c r="J247" s="19">
        <f>ROUND((G246)*0.009/12 +D247* F247*0.009/12, 2)</f>
        <v/>
      </c>
      <c r="K247" s="19" t="n"/>
      <c r="L247" s="28" t="n">
        <v>27.5599999999999</v>
      </c>
      <c r="M247" s="19">
        <f>C247-J247</f>
        <v/>
      </c>
      <c r="N247" s="19">
        <f>B247-M247</f>
        <v/>
      </c>
      <c r="O247" s="19">
        <f>J247+K247+L247</f>
        <v/>
      </c>
    </row>
    <row r="248" ht="15.75" customHeight="1">
      <c r="A248" s="27" t="n">
        <v>51723</v>
      </c>
      <c r="B248" s="19" t="n">
        <v>1056.64000000002</v>
      </c>
      <c r="C248" s="19">
        <f>ROUND(1056.64*I248, 2)</f>
        <v/>
      </c>
      <c r="D248" s="19" t="n"/>
      <c r="E248" s="19" t="n"/>
      <c r="F248" s="19" t="n"/>
      <c r="G248" s="19">
        <f>G247-M248+D248</f>
        <v/>
      </c>
      <c r="H248" s="19">
        <f>H247-M248</f>
        <v/>
      </c>
      <c r="I248" s="20" t="n">
        <v>1</v>
      </c>
      <c r="J248" s="19">
        <f>ROUND((G247)*0.009/12 +D248* F248*0.009/12, 2)</f>
        <v/>
      </c>
      <c r="K248" s="19" t="n"/>
      <c r="L248" s="28" t="n">
        <v>27.5599999999998</v>
      </c>
      <c r="M248" s="19">
        <f>C248-J248</f>
        <v/>
      </c>
      <c r="N248" s="19">
        <f>B248-M248</f>
        <v/>
      </c>
      <c r="O248" s="19">
        <f>J248+K248+L248</f>
        <v/>
      </c>
    </row>
    <row r="249" ht="15.75" customHeight="1">
      <c r="A249" s="27" t="n">
        <v>51754</v>
      </c>
      <c r="B249" s="19" t="n">
        <v>1056.64000000002</v>
      </c>
      <c r="C249" s="19">
        <f>ROUND(1056.64*I249, 2)</f>
        <v/>
      </c>
      <c r="D249" s="19" t="n"/>
      <c r="E249" s="19" t="n"/>
      <c r="F249" s="19" t="n"/>
      <c r="G249" s="19">
        <f>G248-M249+D249</f>
        <v/>
      </c>
      <c r="H249" s="19">
        <f>H248-M249</f>
        <v/>
      </c>
      <c r="I249" s="20" t="n">
        <v>1</v>
      </c>
      <c r="J249" s="19">
        <f>ROUND((G248)*0.009/12 +D249* F249*0.009/12, 2)</f>
        <v/>
      </c>
      <c r="K249" s="19" t="n"/>
      <c r="L249" s="28" t="n">
        <v>27.5599999999999</v>
      </c>
      <c r="M249" s="19">
        <f>C249-J249</f>
        <v/>
      </c>
      <c r="N249" s="19">
        <f>B249-M249</f>
        <v/>
      </c>
      <c r="O249" s="19">
        <f>J249+K249+L249</f>
        <v/>
      </c>
    </row>
    <row r="250" ht="15.75" customHeight="1">
      <c r="A250" s="27" t="n">
        <v>51784</v>
      </c>
      <c r="B250" s="19" t="n">
        <v>1056.64000000002</v>
      </c>
      <c r="C250" s="19">
        <f>ROUND(1056.64*I250, 2)</f>
        <v/>
      </c>
      <c r="D250" s="19" t="n"/>
      <c r="E250" s="19" t="n"/>
      <c r="F250" s="19" t="n"/>
      <c r="G250" s="19">
        <f>G249-M250+D250</f>
        <v/>
      </c>
      <c r="H250" s="19">
        <f>H249-M250</f>
        <v/>
      </c>
      <c r="I250" s="20" t="n">
        <v>1</v>
      </c>
      <c r="J250" s="19">
        <f>ROUND((G249)*0.009/12 +D250* F250*0.009/12, 2)</f>
        <v/>
      </c>
      <c r="K250" s="19" t="n"/>
      <c r="L250" s="28" t="n">
        <v>27.5599999999999</v>
      </c>
      <c r="M250" s="19">
        <f>C250-J250</f>
        <v/>
      </c>
      <c r="N250" s="19">
        <f>B250-M250</f>
        <v/>
      </c>
      <c r="O250" s="19">
        <f>J250+K250+L250</f>
        <v/>
      </c>
    </row>
    <row r="251" ht="15.75" customHeight="1">
      <c r="A251" s="27" t="n">
        <v>51815</v>
      </c>
      <c r="B251" s="19" t="n">
        <v>1056.64000000002</v>
      </c>
      <c r="C251" s="19">
        <f>ROUND(1056.64*I251, 2)</f>
        <v/>
      </c>
      <c r="D251" s="19" t="n"/>
      <c r="E251" s="19" t="n"/>
      <c r="F251" s="19" t="n"/>
      <c r="G251" s="19">
        <f>G250-M251+D251</f>
        <v/>
      </c>
      <c r="H251" s="19">
        <f>H250-M251</f>
        <v/>
      </c>
      <c r="I251" s="20" t="n">
        <v>1</v>
      </c>
      <c r="J251" s="19">
        <f>ROUND((G250)*0.009/12 +D251* F251*0.009/12, 2)</f>
        <v/>
      </c>
      <c r="K251" s="19" t="n"/>
      <c r="L251" s="28" t="n">
        <v>27.5599999999999</v>
      </c>
      <c r="M251" s="19">
        <f>C251-J251</f>
        <v/>
      </c>
      <c r="N251" s="19">
        <f>B251-M251</f>
        <v/>
      </c>
      <c r="O251" s="19">
        <f>J251+K251+L251</f>
        <v/>
      </c>
    </row>
    <row r="252" ht="15.75" customHeight="1">
      <c r="A252" s="27" t="n">
        <v>51845</v>
      </c>
      <c r="B252" s="19" t="n">
        <v>1056.64000000002</v>
      </c>
      <c r="C252" s="19">
        <f>ROUND(1056.64*I252, 2)</f>
        <v/>
      </c>
      <c r="D252" s="19" t="n"/>
      <c r="E252" s="19" t="n"/>
      <c r="F252" s="19" t="n"/>
      <c r="G252" s="19">
        <f>G251-M252+D252</f>
        <v/>
      </c>
      <c r="H252" s="19">
        <f>H251-M252</f>
        <v/>
      </c>
      <c r="I252" s="20" t="n">
        <v>1</v>
      </c>
      <c r="J252" s="19">
        <f>ROUND((G251)*0.009/12 +D252* F252*0.009/12, 2)</f>
        <v/>
      </c>
      <c r="K252" s="19" t="n"/>
      <c r="L252" s="28" t="n">
        <v>27.5599999999999</v>
      </c>
      <c r="M252" s="19">
        <f>C252-J252</f>
        <v/>
      </c>
      <c r="N252" s="19">
        <f>B252-M252</f>
        <v/>
      </c>
      <c r="O252" s="19">
        <f>J252+K252+L252</f>
        <v/>
      </c>
    </row>
    <row r="253" ht="15.75" customHeight="1">
      <c r="A253" s="27" t="n">
        <v>51876</v>
      </c>
      <c r="B253" s="19" t="n">
        <v>1056.64000000002</v>
      </c>
      <c r="C253" s="19">
        <f>ROUND(1056.64*I253, 2)</f>
        <v/>
      </c>
      <c r="D253" s="19" t="n"/>
      <c r="E253" s="19" t="n"/>
      <c r="F253" s="19" t="n"/>
      <c r="G253" s="19">
        <f>G252-M253+D253</f>
        <v/>
      </c>
      <c r="H253" s="19">
        <f>H252-M253</f>
        <v/>
      </c>
      <c r="I253" s="20" t="n">
        <v>1</v>
      </c>
      <c r="J253" s="19">
        <f>ROUND((G252)*0.009/12 +D253* F253*0.009/12, 2)</f>
        <v/>
      </c>
      <c r="K253" s="19" t="n"/>
      <c r="L253" s="28" t="n">
        <v>27.5599999999999</v>
      </c>
      <c r="M253" s="19">
        <f>C253-J253</f>
        <v/>
      </c>
      <c r="N253" s="19">
        <f>B253-M253</f>
        <v/>
      </c>
      <c r="O253" s="19">
        <f>J253+K253+L253</f>
        <v/>
      </c>
    </row>
    <row r="254" ht="15.75" customHeight="1">
      <c r="A254" s="27" t="n">
        <v>51907</v>
      </c>
      <c r="B254" s="19" t="n">
        <v>1056.64000000002</v>
      </c>
      <c r="C254" s="19">
        <f>ROUND(1056.64*I254, 2)</f>
        <v/>
      </c>
      <c r="D254" s="19" t="n"/>
      <c r="E254" s="19" t="n"/>
      <c r="F254" s="19" t="n"/>
      <c r="G254" s="19">
        <f>G253-M254+D254</f>
        <v/>
      </c>
      <c r="H254" s="19">
        <f>H253-M254</f>
        <v/>
      </c>
      <c r="I254" s="20" t="n">
        <v>1</v>
      </c>
      <c r="J254" s="19">
        <f>ROUND((G253)*0.009/12 +D254* F254*0.009/12, 2)</f>
        <v/>
      </c>
      <c r="K254" s="19" t="n"/>
      <c r="L254" s="28" t="n">
        <v>27.5599999999999</v>
      </c>
      <c r="M254" s="19">
        <f>C254-J254</f>
        <v/>
      </c>
      <c r="N254" s="19">
        <f>B254-M254</f>
        <v/>
      </c>
      <c r="O254" s="19">
        <f>J254+K254+L254</f>
        <v/>
      </c>
    </row>
    <row r="255" ht="15.75" customHeight="1">
      <c r="A255" s="27" t="n">
        <v>51935</v>
      </c>
      <c r="B255" s="19" t="n">
        <v>1056.64000000002</v>
      </c>
      <c r="C255" s="19">
        <f>ROUND(1056.64*I255, 2)</f>
        <v/>
      </c>
      <c r="D255" s="19" t="n"/>
      <c r="E255" s="19" t="n"/>
      <c r="F255" s="19" t="n"/>
      <c r="G255" s="19">
        <f>G254-M255+D255</f>
        <v/>
      </c>
      <c r="H255" s="19">
        <f>H254-M255</f>
        <v/>
      </c>
      <c r="I255" s="20" t="n">
        <v>1</v>
      </c>
      <c r="J255" s="19">
        <f>ROUND((G254)*0.009/12 +D255* F255*0.009/12, 2)</f>
        <v/>
      </c>
      <c r="K255" s="19" t="n"/>
      <c r="L255" s="28" t="n">
        <v>27.5599999999999</v>
      </c>
      <c r="M255" s="19">
        <f>C255-J255</f>
        <v/>
      </c>
      <c r="N255" s="19">
        <f>B255-M255</f>
        <v/>
      </c>
      <c r="O255" s="19">
        <f>J255+K255+L255</f>
        <v/>
      </c>
    </row>
    <row r="256" ht="15.75" customHeight="1">
      <c r="A256" s="27" t="n">
        <v>51966</v>
      </c>
      <c r="B256" s="19" t="n">
        <v>1056.64000000002</v>
      </c>
      <c r="C256" s="19">
        <f>ROUND(1056.64*I256, 2)</f>
        <v/>
      </c>
      <c r="D256" s="19" t="n"/>
      <c r="E256" s="19" t="n"/>
      <c r="F256" s="19" t="n"/>
      <c r="G256" s="19">
        <f>G255-M256+D256</f>
        <v/>
      </c>
      <c r="H256" s="19">
        <f>H255-M256</f>
        <v/>
      </c>
      <c r="I256" s="20" t="n">
        <v>1</v>
      </c>
      <c r="J256" s="19">
        <f>ROUND((G255)*0.009/12 +D256* F256*0.009/12, 2)</f>
        <v/>
      </c>
      <c r="K256" s="19" t="n"/>
      <c r="L256" s="28" t="n">
        <v>27.5599999999999</v>
      </c>
      <c r="M256" s="19">
        <f>C256-J256</f>
        <v/>
      </c>
      <c r="N256" s="19">
        <f>B256-M256</f>
        <v/>
      </c>
      <c r="O256" s="19">
        <f>J256+K256+L256</f>
        <v/>
      </c>
    </row>
    <row r="257" ht="15.75" customHeight="1">
      <c r="A257" s="27" t="n">
        <v>51996</v>
      </c>
      <c r="B257" s="19" t="n">
        <v>1056.64000000002</v>
      </c>
      <c r="C257" s="19">
        <f>ROUND(1056.64*I257, 2)</f>
        <v/>
      </c>
      <c r="D257" s="19" t="n"/>
      <c r="E257" s="19" t="n"/>
      <c r="F257" s="19" t="n"/>
      <c r="G257" s="19">
        <f>G256-M257+D257</f>
        <v/>
      </c>
      <c r="H257" s="19">
        <f>H256-M257</f>
        <v/>
      </c>
      <c r="I257" s="20" t="n">
        <v>1</v>
      </c>
      <c r="J257" s="19">
        <f>ROUND((G256)*0.009/12 +D257* F257*0.009/12, 2)</f>
        <v/>
      </c>
      <c r="K257" s="19" t="n"/>
      <c r="L257" s="28" t="n">
        <v>27.5599999999998</v>
      </c>
      <c r="M257" s="19">
        <f>C257-J257</f>
        <v/>
      </c>
      <c r="N257" s="19">
        <f>B257-M257</f>
        <v/>
      </c>
      <c r="O257" s="19">
        <f>J257+K257+L257</f>
        <v/>
      </c>
    </row>
    <row r="258" ht="15.75" customHeight="1">
      <c r="A258" s="27" t="n">
        <v>52027</v>
      </c>
      <c r="B258" s="19" t="n">
        <v>1056.64000000002</v>
      </c>
      <c r="C258" s="19">
        <f>ROUND(1056.64*I258, 2)</f>
        <v/>
      </c>
      <c r="D258" s="19" t="n"/>
      <c r="E258" s="19" t="n"/>
      <c r="F258" s="19" t="n"/>
      <c r="G258" s="19">
        <f>G257-M258+D258</f>
        <v/>
      </c>
      <c r="H258" s="19">
        <f>H257-M258</f>
        <v/>
      </c>
      <c r="I258" s="20" t="n">
        <v>1</v>
      </c>
      <c r="J258" s="19">
        <f>ROUND((G257)*0.009/12 +D258* F258*0.009/12, 2)</f>
        <v/>
      </c>
      <c r="K258" s="19" t="n"/>
      <c r="L258" s="28" t="n">
        <v>27.5599999999998</v>
      </c>
      <c r="M258" s="19">
        <f>C258-J258</f>
        <v/>
      </c>
      <c r="N258" s="19">
        <f>B258-M258</f>
        <v/>
      </c>
      <c r="O258" s="19">
        <f>J258+K258+L258</f>
        <v/>
      </c>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ColWidth="12.5703125" defaultRowHeight="15" customHeight="1"/>
  <cols>
    <col width="26.7109375" customWidth="1" min="1" max="1"/>
    <col width="8.5703125" customWidth="1" min="2" max="2"/>
    <col width="12" customWidth="1" min="3" max="3"/>
    <col width="25.42578125" customWidth="1" min="4" max="4"/>
    <col width="18.85546875" customWidth="1" min="5" max="5"/>
    <col width="8.5703125" customWidth="1" min="6" max="26"/>
  </cols>
  <sheetData>
    <row r="1">
      <c r="A1" s="1" t="inlineStr">
        <is>
          <t>Recette annuelle nette moyenne 12 600</t>
        </is>
      </c>
      <c r="D1" s="29" t="inlineStr">
        <is>
          <t>https://lmnp.ai/ressources/la-valeur-terrain-lmnp</t>
        </is>
      </c>
    </row>
    <row r="2">
      <c r="A2" s="5" t="inlineStr">
        <is>
          <t>Parcelle totale: 3756 m2 (d'après acte de vente);</t>
        </is>
      </c>
      <c r="F2" s="5" t="inlineStr">
        <is>
          <t>terrain mitoyen</t>
        </is>
      </c>
      <c r="H2" s="30" t="inlineStr">
        <is>
          <t>https://explore.data.gouv.fr/fr/immobilier?onglet=carte&amp;filtre=tous&amp;code=93051000AW1061&amp;level=parcelle&amp;lat=48.84310&amp;lng=2.53730&amp;zoom=17.98</t>
        </is>
      </c>
    </row>
    <row r="3">
      <c r="A3" s="5" t="inlineStr">
        <is>
          <t>Prix moyen Noisy Le Grand m2 2021: 912 euros;</t>
        </is>
      </c>
      <c r="F3" s="5" t="inlineStr">
        <is>
          <t>surface totale 4286 m2</t>
        </is>
      </c>
    </row>
    <row r="4">
      <c r="A4" s="5" t="inlineStr">
        <is>
          <t>Tantièmes 62/10000 (57/10000 appartement 5/10000 parking)</t>
        </is>
      </c>
      <c r="F4" s="5" t="inlineStr">
        <is>
          <t>prix de vente 4,069,440 € (2023)  2023-1261712</t>
        </is>
      </c>
    </row>
    <row r="5">
      <c r="F5" s="5" t="inlineStr">
        <is>
          <t>prix au m2: 950</t>
        </is>
      </c>
    </row>
    <row r="6">
      <c r="A6" s="6" t="inlineStr">
        <is>
          <t>Part terrain sur acquisition</t>
        </is>
      </c>
      <c r="B6" s="7">
        <f>3756*950*67/10000</f>
        <v/>
      </c>
      <c r="C6" s="6" t="inlineStr">
        <is>
          <t>arrondi 23200</t>
        </is>
      </c>
      <c r="D6" s="5" t="inlineStr">
        <is>
          <t>Prix terrain retenu: 950 euros m2</t>
        </is>
      </c>
    </row>
    <row r="7">
      <c r="B7" s="7" t="n"/>
      <c r="C7" s="7" t="n"/>
      <c r="D7" s="7" t="n"/>
    </row>
    <row r="8">
      <c r="A8" s="6" t="inlineStr">
        <is>
          <t xml:space="preserve">Amortissements retenus </t>
        </is>
      </c>
      <c r="B8" s="7" t="n"/>
      <c r="C8" s="31" t="inlineStr">
        <is>
          <t>https://lmnp.ai/ressources/comment-amortir-le-composant-gros-oeuvre-lmnp-et-lmp#duree-damortissement</t>
        </is>
      </c>
      <c r="D8" s="31" t="inlineStr">
        <is>
          <t>https://www.amarris-immo.fr/blog/optimiser-sa-fiscalite/comprendre-les-amortissements-en-location-meublee/</t>
        </is>
      </c>
    </row>
    <row r="9">
      <c r="A9" s="7" t="n"/>
      <c r="B9" s="7" t="n"/>
      <c r="C9" s="32" t="inlineStr">
        <is>
          <t>https://lmnp.blog/lmnp-amortissement-decomposition-part-terrain-composants-duree/</t>
        </is>
      </c>
      <c r="D9" s="31" t="inlineStr">
        <is>
          <t>https://bofip.impots.gouv.fr/bofip/2060-PGP.html/identifiant%3DBOI-BIC-AMT-10-40-10-20131216</t>
        </is>
      </c>
    </row>
    <row r="10">
      <c r="A10" s="5" t="inlineStr">
        <is>
          <t xml:space="preserve">Logement prêt a être loué </t>
        </is>
      </c>
      <c r="B10" s="33" t="n">
        <v>45474</v>
      </c>
      <c r="C10" s="5" t="inlineStr">
        <is>
          <t>amortissement au prorata en 2024 * 0.5</t>
        </is>
      </c>
    </row>
    <row r="11">
      <c r="E11" s="5" t="n"/>
    </row>
    <row r="12">
      <c r="A12" s="1" t="inlineStr">
        <is>
          <t>Composante</t>
        </is>
      </c>
      <c r="B12" s="1" t="inlineStr">
        <is>
          <t>Part</t>
        </is>
      </c>
      <c r="C12" s="1" t="inlineStr">
        <is>
          <t>Montant</t>
        </is>
      </c>
      <c r="D12" s="1" t="inlineStr">
        <is>
          <t>Durée amortissement (ans)</t>
        </is>
      </c>
      <c r="E12" s="5" t="inlineStr">
        <is>
          <t>Amortissement annuel</t>
        </is>
      </c>
    </row>
    <row r="13">
      <c r="A13" s="1" t="inlineStr">
        <is>
          <t>Terrain</t>
        </is>
      </c>
      <c r="B13" s="34" t="n">
        <v>0.1</v>
      </c>
      <c r="C13" s="1">
        <f>232000*B13</f>
        <v/>
      </c>
      <c r="D13" s="1" t="inlineStr">
        <is>
          <t>N/A</t>
        </is>
      </c>
    </row>
    <row r="14">
      <c r="A14" s="1" t="inlineStr">
        <is>
          <t>Gros oeuvre</t>
        </is>
      </c>
      <c r="B14" s="34" t="n">
        <v>0.5</v>
      </c>
      <c r="C14" s="1">
        <f>232000*B14</f>
        <v/>
      </c>
      <c r="D14" s="1" t="n">
        <v>75</v>
      </c>
      <c r="E14" s="1">
        <f>C14/D14</f>
        <v/>
      </c>
    </row>
    <row r="15">
      <c r="A15" s="1" t="inlineStr">
        <is>
          <t>Façade</t>
        </is>
      </c>
      <c r="B15" s="34" t="n">
        <v>0.1</v>
      </c>
      <c r="C15" s="1">
        <f>232000*B15</f>
        <v/>
      </c>
      <c r="D15" s="1" t="n">
        <v>20</v>
      </c>
      <c r="E15" s="1">
        <f>C15/D15</f>
        <v/>
      </c>
    </row>
    <row r="16">
      <c r="A16" s="1" t="inlineStr">
        <is>
          <t>Installations</t>
        </is>
      </c>
      <c r="B16" s="35" t="n">
        <v>0.15</v>
      </c>
      <c r="C16" s="1">
        <f>232000*B16</f>
        <v/>
      </c>
      <c r="D16" s="1" t="n">
        <v>15</v>
      </c>
      <c r="E16" s="1">
        <f>C16/D16</f>
        <v/>
      </c>
    </row>
    <row r="17">
      <c r="A17" s="1" t="inlineStr">
        <is>
          <t>Agencements</t>
        </is>
      </c>
      <c r="B17" s="35" t="n">
        <v>0.15</v>
      </c>
      <c r="C17" s="1">
        <f>232000*B17</f>
        <v/>
      </c>
      <c r="D17" s="1" t="n">
        <v>15</v>
      </c>
      <c r="E17" s="1">
        <f>C17/D17</f>
        <v/>
      </c>
    </row>
    <row r="18">
      <c r="A18" s="1" t="inlineStr">
        <is>
          <t>Frais acquisitions</t>
        </is>
      </c>
      <c r="B18" s="35" t="n"/>
      <c r="C18" s="1" t="n">
        <v>7134.93</v>
      </c>
      <c r="D18" s="1" t="n">
        <v>20</v>
      </c>
      <c r="G18" s="5" t="inlineStr">
        <is>
          <t>Exception: Passés en charge de la 1ère année (liasse fiscale)</t>
        </is>
      </c>
    </row>
    <row r="20">
      <c r="F20" s="5" t="inlineStr">
        <is>
          <t>Prix par https://www.solvimo.com/estimation/terrain/noisy-le-grand-93160</t>
        </is>
      </c>
    </row>
    <row r="21">
      <c r="A21" s="5" t="inlineStr">
        <is>
          <t>Simplifié gros oeuvre</t>
        </is>
      </c>
      <c r="B21" s="36" t="n">
        <v>0.9</v>
      </c>
      <c r="C21" s="5" t="n">
        <v>208800</v>
      </c>
      <c r="D21" s="5" t="n">
        <v>25</v>
      </c>
      <c r="E21" s="1">
        <f>C21/D21</f>
        <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hyperlinks>
    <hyperlink xmlns:r="http://schemas.openxmlformats.org/officeDocument/2006/relationships" ref="D1" r:id="rId1"/>
    <hyperlink xmlns:r="http://schemas.openxmlformats.org/officeDocument/2006/relationships" ref="H2" r:id="rId2"/>
    <hyperlink xmlns:r="http://schemas.openxmlformats.org/officeDocument/2006/relationships" ref="C8" location="duree-damortissement" r:id="rId3"/>
    <hyperlink xmlns:r="http://schemas.openxmlformats.org/officeDocument/2006/relationships" ref="D8" r:id="rId4"/>
    <hyperlink xmlns:r="http://schemas.openxmlformats.org/officeDocument/2006/relationships" ref="C9" r:id="rId5"/>
    <hyperlink xmlns:r="http://schemas.openxmlformats.org/officeDocument/2006/relationships" ref="D9" r:id="rId6"/>
  </hyperlinks>
  <pageMargins left="0.7" right="0.7" top="0.75" bottom="0.75" header="0" footer="0"/>
  <pageSetup orientation="landscape"/>
  <drawing xmlns:r="http://schemas.openxmlformats.org/officeDocument/2006/relationships" r:id="rId7"/>
</worksheet>
</file>

<file path=xl/worksheets/sheet4.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ColWidth="12.5703125" defaultRowHeight="15" customHeight="1"/>
  <cols>
    <col width="12.140625" customWidth="1" min="1" max="1"/>
    <col width="27.42578125" customWidth="1" min="2" max="2"/>
    <col width="29" customWidth="1" min="3" max="3"/>
    <col width="8.5703125" customWidth="1" min="4" max="26"/>
  </cols>
  <sheetData>
    <row r="1">
      <c r="A1" s="1" t="inlineStr">
        <is>
          <t>Notes</t>
        </is>
      </c>
    </row>
    <row r="2">
      <c r="A2" s="1" t="inlineStr">
        <is>
          <t>INPI</t>
        </is>
      </c>
      <c r="B2" s="1" t="inlineStr">
        <is>
          <t>Lien</t>
        </is>
      </c>
      <c r="C2" s="37" t="inlineStr">
        <is>
          <t xml:space="preserve">https://procedures.inpi.fr/ </t>
        </is>
      </c>
    </row>
    <row r="3">
      <c r="B3" s="1" t="inlineStr">
        <is>
          <t>Identifiant</t>
        </is>
      </c>
      <c r="C3" s="1" t="n">
        <v>3679157279</v>
      </c>
    </row>
    <row r="4">
      <c r="B4" s="1" t="inlineStr">
        <is>
          <t>SIREN</t>
        </is>
      </c>
      <c r="C4" s="5" t="n">
        <v>928408715</v>
      </c>
    </row>
    <row r="5">
      <c r="B5" s="1" t="inlineStr">
        <is>
          <t>SIRET</t>
        </is>
      </c>
      <c r="C5" s="38" t="n">
        <v>92840871500011</v>
      </c>
    </row>
    <row r="6">
      <c r="B6" s="1" t="inlineStr">
        <is>
          <t>Début d'activité</t>
        </is>
      </c>
      <c r="C6" s="2" t="n">
        <v>44317</v>
      </c>
      <c r="E6" s="1" t="inlineStr">
        <is>
          <t>Achat effectif (signature notaire): 02/06/2021</t>
        </is>
      </c>
      <c r="J6" s="1" t="inlineStr">
        <is>
          <t>Livraison</t>
        </is>
      </c>
    </row>
    <row r="7">
      <c r="B7" s="1" t="inlineStr">
        <is>
          <t>Régime imposition</t>
        </is>
      </c>
      <c r="C7" s="1" t="inlineStr">
        <is>
          <t>Réel simplifié BIC</t>
        </is>
      </c>
    </row>
    <row r="8">
      <c r="B8" s="1" t="inlineStr">
        <is>
          <t>TVA</t>
        </is>
      </c>
      <c r="C8" s="1" t="inlineStr">
        <is>
          <t>Franchise en base TVA (exonération)</t>
        </is>
      </c>
    </row>
    <row r="10">
      <c r="A10" s="1" t="inlineStr">
        <is>
          <t>Teledec</t>
        </is>
      </c>
    </row>
    <row r="11">
      <c r="B11" s="5" t="inlineStr">
        <is>
          <t>Nom utilisateur</t>
        </is>
      </c>
      <c r="C11" s="39" t="inlineStr">
        <is>
          <t>kurokrosk@gmail.com</t>
        </is>
      </c>
    </row>
    <row r="12">
      <c r="B12" s="5" t="inlineStr">
        <is>
          <t>Exercice 01/05/2021 31/12/2022</t>
        </is>
      </c>
      <c r="C12" s="40" t="inlineStr">
        <is>
          <t>https://www.teledec.fr/declaration/2659206</t>
        </is>
      </c>
    </row>
    <row r="13">
      <c r="B13" s="5" t="inlineStr">
        <is>
          <t>Exercice 01/01/2023 31/12/2023</t>
        </is>
      </c>
      <c r="C13" s="40" t="inlineStr">
        <is>
          <t>https://www.teledec.fr/declaration/2652616</t>
        </is>
      </c>
    </row>
    <row r="16">
      <c r="B16" s="1" t="inlineStr">
        <is>
          <t>Formulaire à remplir</t>
        </is>
      </c>
      <c r="C16" s="1" t="inlineStr">
        <is>
          <t>2042-C-Pro</t>
        </is>
      </c>
    </row>
    <row r="17">
      <c r="C17" s="1" t="n">
        <v>2031</v>
      </c>
      <c r="D17" s="37" t="inlineStr">
        <is>
          <t>https://www.impots.gouv.fr/portail/files/formulaires/2031-sd/2022/2031-sd_3755.pdf</t>
        </is>
      </c>
    </row>
    <row r="18">
      <c r="C18" s="1" t="n">
        <v>2033</v>
      </c>
      <c r="D18" s="5" t="inlineStr">
        <is>
          <t>l’entreprise n’est pas tenue d’établir un bilan (annexe n° 2033-A de la liasse fiscale) ; les autres annexes devant bien évidemment être souscrites (compte de résultat simplifié, tableau des immobilisations, amortissements et des plus et moins-values, relevés des provisions et des déficits reportables, détermination de la valeur ajoutée au cours de l’exercice).</t>
        </is>
      </c>
    </row>
    <row r="20">
      <c r="A20" s="5" t="inlineStr">
        <is>
          <t>Espace impot</t>
        </is>
      </c>
    </row>
    <row r="21">
      <c r="C21" s="5" t="inlineStr">
        <is>
          <t>C@2C@2</t>
        </is>
      </c>
    </row>
    <row r="23">
      <c r="A23" s="1" t="inlineStr">
        <is>
          <t>Cerfa 2031</t>
        </is>
      </c>
    </row>
    <row r="25">
      <c r="A25" s="1" t="inlineStr">
        <is>
          <t>Cerfa 2033-C</t>
        </is>
      </c>
    </row>
    <row r="26">
      <c r="B26" s="1" t="inlineStr">
        <is>
          <t>Neant</t>
        </is>
      </c>
      <c r="C26" s="5" t="inlineStr">
        <is>
          <t>En 2023, le logement n'est pas livré, ce n'est donc pas une immobilisation, mais une immobilisation en cours ou un acompte sur immobilisation.</t>
        </is>
      </c>
      <c r="D26" s="37" t="inlineStr">
        <is>
          <t>https://www.compta-online.com/tva-immobiliere-et-appartement-en-vefa-t71580</t>
        </is>
      </c>
    </row>
    <row r="27" ht="15.75" customHeight="1">
      <c r="B27" s="1" t="inlineStr">
        <is>
          <t>420, 422, 426</t>
        </is>
      </c>
      <c r="C27" s="1" t="inlineStr">
        <is>
          <t>Evolution de l'immobilisation terrain (+23200 en 2024)</t>
        </is>
      </c>
      <c r="D27" s="37" t="n"/>
    </row>
    <row r="28" ht="15.75" customHeight="1">
      <c r="B28" s="1" t="inlineStr">
        <is>
          <t>430, 432, 436</t>
        </is>
      </c>
      <c r="C28" s="1" t="inlineStr">
        <is>
          <t>Evolution de l'immobilisation construction (+208800 en 2024)</t>
        </is>
      </c>
      <c r="D28" s="37" t="n"/>
    </row>
    <row r="29" ht="15.75" customHeight="1">
      <c r="B29" s="1" t="inlineStr">
        <is>
          <t>520, 522, 526</t>
        </is>
      </c>
      <c r="C29" s="1" t="inlineStr">
        <is>
          <t>Evolution de l'amortissement</t>
        </is>
      </c>
      <c r="D29" s="37" t="n"/>
    </row>
    <row r="30" ht="15.75" customHeight="1">
      <c r="C30" s="37" t="n"/>
    </row>
    <row r="31" ht="15.75" customHeight="1">
      <c r="A31" s="1" t="inlineStr">
        <is>
          <t>Cerfa 2033-B</t>
        </is>
      </c>
      <c r="C31" s="37" t="n"/>
    </row>
    <row r="32" ht="15.75" customHeight="1">
      <c r="B32" s="1" t="inlineStr">
        <is>
          <t>218, 232</t>
        </is>
      </c>
      <c r="C32" s="1" t="inlineStr">
        <is>
          <t>Recettes locatives</t>
        </is>
      </c>
    </row>
    <row r="33" ht="15.75" customHeight="1">
      <c r="B33" s="1" t="n">
        <v>242</v>
      </c>
      <c r="C33" s="1" t="inlineStr">
        <is>
          <t>Dépenses diverses d'une valeur unitaire inférieure a 600 TTC</t>
        </is>
      </c>
    </row>
    <row r="34" ht="15.75" customHeight="1">
      <c r="B34" s="1" t="n">
        <v>243</v>
      </c>
      <c r="C34" s="1" t="inlineStr">
        <is>
          <t>CFE et CVAE</t>
        </is>
      </c>
    </row>
    <row r="35" ht="15.75" customHeight="1">
      <c r="B35" s="1" t="n">
        <v>244</v>
      </c>
      <c r="C35" s="1" t="inlineStr">
        <is>
          <t>Taxe fonciere? CFE et CVAE</t>
        </is>
      </c>
    </row>
    <row r="36" ht="15.75" customHeight="1">
      <c r="B36" s="1" t="n">
        <v>254</v>
      </c>
      <c r="C36" s="1" t="inlineStr">
        <is>
          <t>Reporter amortissement 573</t>
        </is>
      </c>
    </row>
    <row r="37" ht="15.75" customHeight="1">
      <c r="B37" s="1" t="n">
        <v>264</v>
      </c>
      <c r="C37" s="1" t="inlineStr">
        <is>
          <t>Total des charges d'exploitation</t>
        </is>
      </c>
    </row>
    <row r="38" ht="15.75" customHeight="1">
      <c r="B38" s="1" t="n">
        <v>294</v>
      </c>
      <c r="C38" s="1" t="inlineStr">
        <is>
          <t>Charges emprunt + assurances</t>
        </is>
      </c>
    </row>
    <row r="39" ht="15.75" customHeight="1">
      <c r="B39" s="1" t="n">
        <v>318</v>
      </c>
      <c r="C39" s="1" t="inlineStr">
        <is>
          <t>Amortissement non utilisé</t>
        </is>
      </c>
    </row>
    <row r="40" ht="15.75" customHeight="1">
      <c r="B40" s="1" t="inlineStr">
        <is>
          <t>310, 314</t>
        </is>
      </c>
      <c r="C40" s="1" t="inlineStr">
        <is>
          <t>Résultat fiscal</t>
        </is>
      </c>
    </row>
    <row r="41" ht="15.75" customHeight="1">
      <c r="B41" s="1" t="inlineStr">
        <is>
          <t>354, 372</t>
        </is>
      </c>
      <c r="C41" s="1" t="inlineStr">
        <is>
          <t>Résultat fiscal apres amortissement</t>
        </is>
      </c>
    </row>
    <row r="42" ht="15.75" customHeight="1"/>
    <row r="43" ht="15.75" customHeight="1"/>
    <row r="44" ht="15.75" customHeight="1">
      <c r="A44" s="1" t="inlineStr">
        <is>
          <t>Cerfa 2033-A</t>
        </is>
      </c>
    </row>
    <row r="45" ht="15.75" customHeight="1">
      <c r="B45" s="1" t="inlineStr">
        <is>
          <t>028, 030</t>
        </is>
      </c>
      <c r="C45" s="1" t="inlineStr">
        <is>
          <t>Immobilisations et reduction</t>
        </is>
      </c>
    </row>
    <row r="46" ht="15.75" customHeight="1">
      <c r="B46" s="1" t="n">
        <v>136</v>
      </c>
      <c r="C46" s="1" t="inlineStr">
        <is>
          <t>Résultat de l'exercice; a noter que le déficit sera a reporter sur le formulaire 2042-C</t>
        </is>
      </c>
      <c r="D46" s="1" t="inlineStr">
        <is>
          <t>"Pour les entreprises qui relèvent de l'impôt sur le revenu, le report des déficits ne s'effectue pas sur les BIC des années suivantes mais au niveau de la déclaration d'impôt sur le revenu n°2042, soit sur le montant du revenu global dont dispose le foyer fiscal, soit sur les revenus tirés d'activités de même nature au titre de l'année ou des six années suivantes. Ces entreprises n'ont donc pas en principe à servir le cadre II du tableau 2033D et doivent mentionner le montant de déficit imputé sur le bénéfice catégoriel sur la ligne 350 " déductions diverses " du tableau 2033B (à détailler sur un feuillet séparé)."</t>
        </is>
      </c>
    </row>
    <row r="47" ht="15.75" customHeight="1">
      <c r="B47" s="1" t="n">
        <v>120</v>
      </c>
      <c r="C47" s="1" t="inlineStr">
        <is>
          <t>Capital social ou individuel = Immobilisations corporelles - Résultat de l’exercice - Emprunts et dettes assimilées</t>
        </is>
      </c>
    </row>
    <row r="48" ht="15.75" customHeight="1"/>
    <row r="49" ht="15.75" customHeight="1"/>
    <row r="50" ht="15.75" customHeight="1">
      <c r="A50" s="1" t="inlineStr">
        <is>
          <t>CVAE</t>
        </is>
      </c>
    </row>
    <row r="51" ht="15.75" customHeight="1"/>
    <row r="52" ht="15.75" customHeight="1">
      <c r="A52" s="1" t="inlineStr">
        <is>
          <t>Info</t>
        </is>
      </c>
      <c r="C52" s="1" t="inlineStr">
        <is>
          <t>Déficit LMNP != déficit foncier</t>
        </is>
      </c>
    </row>
    <row r="53" ht="15.75" customHeight="1">
      <c r="C53" s="37" t="inlineStr">
        <is>
          <t>https://www.jedeclaremonmeuble.com/deficit-reportable-lmnp/</t>
        </is>
      </c>
    </row>
    <row r="54" ht="15.75" customHeight="1">
      <c r="C54" s="1" t="inlineStr">
        <is>
          <t>https://www.ownily.fr/blog/declaration-lmnp-2024</t>
        </is>
      </c>
    </row>
    <row r="55" ht="15.75" customHeight="1">
      <c r="B55" s="1" t="inlineStr">
        <is>
          <t>Guide remplissage 2031</t>
        </is>
      </c>
      <c r="C55" s="29" t="inlineStr">
        <is>
          <t>https://www.bailfacile.fr/guides/declaration-formulaire-2031</t>
        </is>
      </c>
    </row>
    <row r="56" ht="15.75" customHeight="1">
      <c r="B56" s="1" t="inlineStr">
        <is>
          <t>Comptabilité</t>
        </is>
      </c>
      <c r="C56" s="1" t="inlineStr">
        <is>
          <t>https://www.immobilierloyer.com/location/declaration-meuble-reel/comptabilite_regime_reel_simplifie_lmnp/</t>
        </is>
      </c>
    </row>
    <row r="57" ht="15.75" customHeight="1">
      <c r="B57" s="1" t="inlineStr">
        <is>
          <t>Amortissement</t>
        </is>
      </c>
      <c r="C57" s="37" t="inlineStr">
        <is>
          <t>https://www.vinci-immobilier.com/investissement-locatif/lmnp/amortissement-bien-lmnp</t>
        </is>
      </c>
    </row>
    <row r="58" ht="15.75" customHeight="1">
      <c r="C58" s="1" t="inlineStr">
        <is>
          <t>En cas d’achat de mobilier pour un montant inférieur à 500 € HT (600 euros TTC), cet achat peut cependant être directement réintégré dans les charges classiques.</t>
        </is>
      </c>
    </row>
    <row r="59" ht="15.75" customHeight="1">
      <c r="B59" s="1" t="inlineStr">
        <is>
          <t>Taxes</t>
        </is>
      </c>
      <c r="C59" s="1" t="inlineStr">
        <is>
          <t>https://www.smartloc.fr/blog/taxes-impots-lmnp/</t>
        </is>
      </c>
    </row>
    <row r="60" ht="15.75" customHeight="1">
      <c r="C60" s="37" t="inlineStr">
        <is>
          <t>https://www.empruntis.com/financement/investissement-locatif/formulaire-2031.php</t>
        </is>
      </c>
    </row>
    <row r="61" ht="15.75" customHeight="1">
      <c r="B61" s="1" t="inlineStr">
        <is>
          <t>Documents</t>
        </is>
      </c>
      <c r="C61" s="37" t="inlineStr">
        <is>
          <t>https://www.impots.gouv.fr/professionnel/questions/suis-je-oblige-de-recourir-aux-services-dun-expert-comptable</t>
        </is>
      </c>
    </row>
    <row r="62" ht="15.75" customHeight="1">
      <c r="B62" s="1" t="inlineStr">
        <is>
          <t>Portail géneral</t>
        </is>
      </c>
      <c r="C62" s="37" t="inlineStr">
        <is>
          <t>https://www.impots.gouv.fr/particulier/location-meublee</t>
        </is>
      </c>
    </row>
    <row r="63" ht="15.75" customHeight="1">
      <c r="B63" s="1" t="inlineStr">
        <is>
          <t>Guide liasse fiscale</t>
        </is>
      </c>
      <c r="C63" s="37" t="inlineStr">
        <is>
          <t>http://www.lmnp-declaration.fr/</t>
        </is>
      </c>
    </row>
    <row r="64" ht="15.75" customHeight="1"/>
    <row r="65" ht="15.75" customHeight="1">
      <c r="A65" s="1" t="inlineStr">
        <is>
          <t>Amortissement</t>
        </is>
      </c>
    </row>
    <row r="66" ht="15.75" customHeight="1">
      <c r="B66" s="1" t="inlineStr">
        <is>
          <t>Réseaux</t>
        </is>
      </c>
      <c r="C66" s="1" t="inlineStr">
        <is>
          <t>https://lmnp.ai/ressources/comment-amortir-le-composant-rseaux-en-lmnp</t>
        </is>
      </c>
    </row>
    <row r="67" ht="15.75" customHeight="1">
      <c r="B67" s="1" t="inlineStr">
        <is>
          <t>Gros oeuvre</t>
        </is>
      </c>
      <c r="C67" s="1" t="inlineStr">
        <is>
          <t>https://lmnp.ai/ressources/comment-amortir-le-composant-gros-oeuvre-lmnp-et-lmp</t>
        </is>
      </c>
    </row>
    <row r="68" ht="15.75" customHeight="1">
      <c r="B68" s="1" t="inlineStr">
        <is>
          <t>Toiture</t>
        </is>
      </c>
      <c r="C68" s="37" t="inlineStr">
        <is>
          <t>https://lmnp.ai/ressources/comment-amortir-la-toiture-en-lmnp</t>
        </is>
      </c>
    </row>
    <row r="69" ht="15.75" customHeight="1">
      <c r="B69" s="1" t="inlineStr">
        <is>
          <t>Amenagement interieur</t>
        </is>
      </c>
      <c r="C69" s="37" t="inlineStr">
        <is>
          <t>https://lmnp.ai/ressources/comment-amortir-les-amnagements-intrieurs-en-lmnp</t>
        </is>
      </c>
    </row>
    <row r="70" ht="15.75" customHeight="1">
      <c r="B70" s="5" t="inlineStr">
        <is>
          <t>1er declaration</t>
        </is>
      </c>
      <c r="C70" s="30" t="inlineStr">
        <is>
          <t>https://lmnp.blog/je-fais-ma-premiere-declaration-en-lmnp/</t>
        </is>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hyperlinks>
    <hyperlink xmlns:r="http://schemas.openxmlformats.org/officeDocument/2006/relationships" ref="C2" r:id="rId1"/>
    <hyperlink xmlns:r="http://schemas.openxmlformats.org/officeDocument/2006/relationships" ref="C12" r:id="rId2"/>
    <hyperlink xmlns:r="http://schemas.openxmlformats.org/officeDocument/2006/relationships" ref="C13" r:id="rId3"/>
    <hyperlink xmlns:r="http://schemas.openxmlformats.org/officeDocument/2006/relationships" ref="D17" r:id="rId4"/>
    <hyperlink xmlns:r="http://schemas.openxmlformats.org/officeDocument/2006/relationships" ref="D26" r:id="rId5"/>
    <hyperlink xmlns:r="http://schemas.openxmlformats.org/officeDocument/2006/relationships" ref="C53" r:id="rId6"/>
    <hyperlink xmlns:r="http://schemas.openxmlformats.org/officeDocument/2006/relationships" ref="C55" r:id="rId7"/>
    <hyperlink xmlns:r="http://schemas.openxmlformats.org/officeDocument/2006/relationships" ref="C57" r:id="rId8"/>
    <hyperlink xmlns:r="http://schemas.openxmlformats.org/officeDocument/2006/relationships" ref="C60" r:id="rId9"/>
    <hyperlink xmlns:r="http://schemas.openxmlformats.org/officeDocument/2006/relationships" ref="C61" r:id="rId10"/>
    <hyperlink xmlns:r="http://schemas.openxmlformats.org/officeDocument/2006/relationships" ref="C62" r:id="rId11"/>
    <hyperlink xmlns:r="http://schemas.openxmlformats.org/officeDocument/2006/relationships" ref="C63" r:id="rId12"/>
    <hyperlink xmlns:r="http://schemas.openxmlformats.org/officeDocument/2006/relationships" ref="C68" r:id="rId13"/>
    <hyperlink xmlns:r="http://schemas.openxmlformats.org/officeDocument/2006/relationships" ref="C69" r:id="rId14"/>
    <hyperlink xmlns:r="http://schemas.openxmlformats.org/officeDocument/2006/relationships" ref="C70" r:id="rId15"/>
  </hyperlinks>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D54"/>
  <sheetViews>
    <sheetView workbookViewId="0">
      <selection activeCell="A1" sqref="A1"/>
    </sheetView>
  </sheetViews>
  <sheetFormatPr baseColWidth="8" defaultColWidth="12.5703125" defaultRowHeight="15" customHeight="1"/>
  <cols>
    <col width="15.7109375" customWidth="1" min="1" max="1"/>
  </cols>
  <sheetData>
    <row r="1">
      <c r="A1" s="5" t="inlineStr">
        <is>
          <t>Rappel: déclaration au régime réel simplifié d'imposition</t>
        </is>
      </c>
    </row>
    <row r="2">
      <c r="A2" s="5" t="inlineStr">
        <is>
          <t>Notice officielle</t>
        </is>
      </c>
      <c r="B2" s="30" t="inlineStr">
        <is>
          <t>https://www.impots.gouv.fr/formulaire/2033-sd/liasse-bicsi-regime-rsi-tableaux-ndeg-2033-sd-2033-g-sd</t>
        </is>
      </c>
    </row>
    <row r="3">
      <c r="A3" s="5" t="inlineStr">
        <is>
          <t>Justificatifs</t>
        </is>
      </c>
      <c r="B3" s="30" t="inlineStr">
        <is>
          <t>https://drive.google.com/drive/u/0/folders/1EibZPSCjeqKnsy1YXtMZagqeOC-PYlnt</t>
        </is>
      </c>
    </row>
    <row r="4">
      <c r="A4" s="5" t="inlineStr">
        <is>
          <t>Date limite:</t>
        </is>
      </c>
      <c r="B4" s="29" t="inlineStr">
        <is>
          <t>https://www.impots.gouv.fr/professionnel/questions/dans-le-cas-dune-entreprise-concernee-par-un-regime-reel-dimposition-limpot</t>
        </is>
      </c>
    </row>
    <row r="5">
      <c r="A5" s="5" t="n"/>
      <c r="B5" s="5" t="inlineStr">
        <is>
          <t>2è jour ouvré qui suit le 1er mai + 15 jours supplémentaire si télétransmission</t>
        </is>
      </c>
    </row>
    <row r="6">
      <c r="A6" s="5" t="n"/>
    </row>
    <row r="7">
      <c r="A7" s="5" t="inlineStr">
        <is>
          <t>BNP</t>
        </is>
      </c>
    </row>
    <row r="8">
      <c r="A8" s="5" t="n"/>
      <c r="B8" s="5" t="inlineStr">
        <is>
          <t>Récupérer les relevés de compte chèque de l'exercice, et stocker dans drive avec numéro unique</t>
        </is>
      </c>
    </row>
    <row r="9">
      <c r="A9" s="5" t="n"/>
    </row>
    <row r="10">
      <c r="A10" s="5" t="inlineStr">
        <is>
          <t>Boursobank</t>
        </is>
      </c>
    </row>
    <row r="11">
      <c r="A11" s="5" t="n"/>
      <c r="B11" s="5" t="inlineStr">
        <is>
          <t>Retrouver les relevés importants; passer les charges sur BNP si possible</t>
        </is>
      </c>
    </row>
    <row r="12">
      <c r="A12" s="5" t="n"/>
    </row>
    <row r="13">
      <c r="A13" s="5" t="inlineStr">
        <is>
          <t>Copro</t>
        </is>
      </c>
    </row>
    <row r="14">
      <c r="A14" s="5" t="n"/>
      <c r="B14" s="5" t="inlineStr">
        <is>
          <t>Retrouver les appels de fond regroupés par trimestre (JFFB4RVD https://www.orchestrav2.egiweb.net)</t>
        </is>
      </c>
    </row>
    <row r="15">
      <c r="A15" s="5" t="n"/>
    </row>
    <row r="16">
      <c r="A16" s="5" t="inlineStr">
        <is>
          <t>Onglet Table</t>
        </is>
      </c>
    </row>
    <row r="17">
      <c r="B17" s="5" t="inlineStr">
        <is>
          <t>Reporter les échéances de prêt, les échéances d'assurances</t>
        </is>
      </c>
    </row>
    <row r="18">
      <c r="A18" s="5" t="n"/>
      <c r="B18" s="5" t="inlineStr">
        <is>
          <t>Reporter les loyers, les provisions sur charge (en ligne distincte), cautions</t>
        </is>
      </c>
    </row>
    <row r="19">
      <c r="A19" s="5" t="n"/>
      <c r="B19" s="5" t="inlineStr">
        <is>
          <t>Reporter les achats de meubles, accessoires; taguer la catégorie est important car préremplissage par filtrage sur catégorie</t>
        </is>
      </c>
    </row>
    <row r="20">
      <c r="A20" s="5" t="n"/>
    </row>
    <row r="21">
      <c r="A21" s="5" t="inlineStr">
        <is>
          <t>Onglet Mortgage</t>
        </is>
      </c>
    </row>
    <row r="22">
      <c r="A22" s="5" t="n"/>
      <c r="B22" s="5" t="inlineStr">
        <is>
          <t>Ajouter les mois de l'année en cours</t>
        </is>
      </c>
    </row>
    <row r="23">
      <c r="A23" s="5" t="n"/>
      <c r="B23" s="5" t="inlineStr">
        <is>
          <t>Compléter les dates des échéances de prêt sur BNP (compte joint)</t>
        </is>
      </c>
    </row>
    <row r="24">
      <c r="A24" s="5" t="n"/>
      <c r="B24" s="5" t="inlineStr">
        <is>
          <t>(Optionel) Compléter les montants des échéances d'assurance sur BNP (compte joint), faire la somme pour les 2 emprunteurs, juste pour vérification</t>
        </is>
      </c>
    </row>
    <row r="25">
      <c r="A25" s="5" t="n"/>
    </row>
    <row r="26">
      <c r="A26" s="5" t="inlineStr">
        <is>
          <t>2033-C</t>
        </is>
      </c>
    </row>
    <row r="27">
      <c r="A27" s="5" t="n"/>
    </row>
    <row r="28">
      <c r="A28" s="5" t="n"/>
      <c r="B28" s="5" t="inlineStr">
        <is>
          <t>42x</t>
        </is>
      </c>
      <c r="C28" s="5" t="inlineStr">
        <is>
          <t>Reporter la valeur du terrain; la valeur reste fixe à partir de l'achat</t>
        </is>
      </c>
    </row>
    <row r="29">
      <c r="A29" s="5" t="n"/>
      <c r="B29" s="4" t="inlineStr">
        <is>
          <t>430</t>
        </is>
      </c>
      <c r="C29" s="5" t="inlineStr">
        <is>
          <t>Reporter la valeur de la construction en début d'exercice</t>
        </is>
      </c>
    </row>
    <row r="30">
      <c r="A30" s="5" t="n"/>
    </row>
    <row r="31">
      <c r="A31" s="5" t="n"/>
    </row>
    <row r="32">
      <c r="A32" s="5" t="inlineStr">
        <is>
          <t>2033-B</t>
        </is>
      </c>
    </row>
    <row r="33">
      <c r="B33" s="4" t="n"/>
      <c r="C33" s="5" t="n"/>
    </row>
    <row r="34">
      <c r="B34" s="4" t="inlineStr">
        <is>
          <t>218</t>
        </is>
      </c>
      <c r="C34" s="5" t="inlineStr">
        <is>
          <t>Reporter les loyers</t>
        </is>
      </c>
    </row>
    <row r="35">
      <c r="B35" s="4" t="inlineStr">
        <is>
          <t>230</t>
        </is>
      </c>
      <c r="C35" s="5" t="inlineStr">
        <is>
          <t>Reporter les provisions sur charge</t>
        </is>
      </c>
    </row>
    <row r="36">
      <c r="B36" s="4" t="inlineStr">
        <is>
          <t>242</t>
        </is>
      </c>
      <c r="C36" s="5" t="inlineStr">
        <is>
          <t>Reporter l'assurance PNO</t>
        </is>
      </c>
    </row>
    <row r="37">
      <c r="B37" s="4" t="inlineStr">
        <is>
          <t>242</t>
        </is>
      </c>
      <c r="C37" s="5" t="inlineStr">
        <is>
          <t>Reporter les achats de meubles &lt; 500 euros; A noter que ce ne sont pas des immobilisations corporelles</t>
        </is>
      </c>
    </row>
    <row r="38">
      <c r="B38" s="4" t="inlineStr">
        <is>
          <t>242</t>
        </is>
      </c>
      <c r="C38" s="5" t="inlineStr">
        <is>
          <t>Reporter les charges de copropriétés (qui ne concernent pas le gros oeuvre)</t>
        </is>
      </c>
    </row>
    <row r="39">
      <c r="B39" s="4" t="inlineStr">
        <is>
          <t>244</t>
        </is>
      </c>
      <c r="C39" s="5" t="inlineStr">
        <is>
          <t>Reporter la taxe foncière</t>
        </is>
      </c>
    </row>
    <row r="40">
      <c r="B40" s="4" t="inlineStr">
        <is>
          <t>254</t>
        </is>
      </c>
      <c r="C40" s="5" t="inlineStr">
        <is>
          <t>Reporter les amortissements</t>
        </is>
      </c>
    </row>
    <row r="41">
      <c r="B41" s="4" t="inlineStr">
        <is>
          <t>294</t>
        </is>
      </c>
      <c r="C41" s="5" t="inlineStr">
        <is>
          <t>Reporter les Intêrets d'emprunt et assurance d'emprunt déductibles sur l'exercice</t>
        </is>
      </c>
    </row>
    <row r="42">
      <c r="B42" s="4" t="inlineStr">
        <is>
          <t>318</t>
        </is>
      </c>
      <c r="C42" s="5" t="inlineStr">
        <is>
          <t>Exercice déficitaire sans besoin amortissement, quand le résultat comptable (310) est négatif si les amortissements (254) sont fixé à 0. Reporter l'amortissement (254); 352 et 370 sont 0</t>
        </is>
      </c>
    </row>
    <row r="43">
      <c r="B43" s="4" t="inlineStr">
        <is>
          <t>318</t>
        </is>
      </c>
      <c r="C43" s="5" t="inlineStr">
        <is>
          <t>Exercice déficitaire avec amortissement, quand le résultat comptable (310) est négatif seulement si les amortissements (254) &gt; 0. Reporter la part d'amortissement (254) non utilisée</t>
        </is>
      </c>
    </row>
    <row r="44">
      <c r="B44" s="4" t="inlineStr">
        <is>
          <t>318</t>
        </is>
      </c>
      <c r="C44" s="5" t="inlineStr">
        <is>
          <t>Exercice bénéficiaire malgré les amortissements. Reporter 0</t>
        </is>
      </c>
    </row>
    <row r="45">
      <c r="B45" s="4" t="inlineStr">
        <is>
          <t>350</t>
        </is>
      </c>
      <c r="C45" s="5" t="inlineStr">
        <is>
          <t>Utiliser les amortissements excédentaires antérieurs</t>
        </is>
      </c>
    </row>
    <row r="46">
      <c r="B46" s="4" t="inlineStr">
        <is>
          <t>360</t>
        </is>
      </c>
      <c r="C46" s="5" t="inlineStr">
        <is>
          <t>Utiliser les déficits antérieurs</t>
        </is>
      </c>
    </row>
    <row r="48">
      <c r="B48" s="5" t="n"/>
      <c r="C48" s="5" t="n"/>
      <c r="D48" s="5" t="n"/>
    </row>
    <row r="54">
      <c r="B54" s="5" t="n"/>
      <c r="C54" s="5" t="n"/>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H23"/>
  <sheetViews>
    <sheetView workbookViewId="0">
      <selection activeCell="A1" sqref="A1"/>
    </sheetView>
  </sheetViews>
  <sheetFormatPr baseColWidth="8" defaultColWidth="12.5703125" defaultRowHeight="15" customHeight="1"/>
  <cols>
    <col width="18.42578125" customWidth="1" min="4" max="4"/>
  </cols>
  <sheetData>
    <row r="1">
      <c r="A1" s="5" t="n"/>
    </row>
    <row r="2">
      <c r="A2" s="5" t="inlineStr">
        <is>
          <t>2033-A</t>
        </is>
      </c>
    </row>
    <row r="3">
      <c r="B3" s="5" t="n">
        <v>64</v>
      </c>
      <c r="C3" s="5" t="n">
        <v>232000</v>
      </c>
      <c r="D3" s="5" t="inlineStr">
        <is>
          <t>Montant versé au promoteur (en acompte, logement non livré)</t>
        </is>
      </c>
    </row>
    <row r="4">
      <c r="B4" s="5" t="n">
        <v>96</v>
      </c>
      <c r="C4" s="5" t="n"/>
      <c r="D4" s="5" t="inlineStr">
        <is>
          <t>Automatique</t>
        </is>
      </c>
    </row>
    <row r="5">
      <c r="B5" s="5" t="n">
        <v>110</v>
      </c>
      <c r="C5" s="5" t="n"/>
      <c r="D5" s="5" t="inlineStr">
        <is>
          <t>Automatique</t>
        </is>
      </c>
      <c r="E5" s="5" t="n"/>
    </row>
    <row r="6">
      <c r="B6" s="5" t="inlineStr">
        <is>
          <t>Actif net</t>
        </is>
      </c>
      <c r="C6" s="5" t="n"/>
      <c r="D6" s="5" t="n"/>
    </row>
    <row r="7">
      <c r="B7" s="5" t="n">
        <v>120</v>
      </c>
      <c r="C7" s="5" t="n">
        <v>18052</v>
      </c>
      <c r="D7" s="5" t="inlineStr">
        <is>
          <t>A ajuster de maniere que actif net == 180</t>
        </is>
      </c>
    </row>
    <row r="8">
      <c r="B8" s="5" t="n">
        <v>136</v>
      </c>
      <c r="C8" s="41" t="n">
        <v>-9371</v>
      </c>
      <c r="D8" s="5" t="inlineStr">
        <is>
          <t>Report de l'exercice (2033-B)</t>
        </is>
      </c>
    </row>
    <row r="9">
      <c r="B9" s="5" t="n">
        <v>142</v>
      </c>
      <c r="C9" s="5" t="n">
        <v>8681</v>
      </c>
      <c r="D9" s="5" t="inlineStr">
        <is>
          <t>Automatique</t>
        </is>
      </c>
    </row>
    <row r="10">
      <c r="B10" s="5" t="n">
        <v>156</v>
      </c>
      <c r="C10" s="5" t="n">
        <v>223319</v>
      </c>
      <c r="D10" s="5" t="inlineStr">
        <is>
          <t>Capital (total) restant du à la cloture de l'exercice (Analyse prêt colonne H)</t>
        </is>
      </c>
    </row>
    <row r="11">
      <c r="B11" s="5" t="n">
        <v>176</v>
      </c>
      <c r="C11" s="5" t="n"/>
      <c r="D11" s="5" t="inlineStr">
        <is>
          <t>Automatique</t>
        </is>
      </c>
    </row>
    <row r="12">
      <c r="B12" s="5" t="n">
        <v>180</v>
      </c>
      <c r="C12" s="5" t="n"/>
      <c r="D12" s="5" t="inlineStr">
        <is>
          <t>Automatique</t>
        </is>
      </c>
    </row>
    <row r="13">
      <c r="B13" s="5" t="n">
        <v>195</v>
      </c>
      <c r="C13" s="5" t="n">
        <v>215081</v>
      </c>
      <c r="D13" s="5" t="inlineStr">
        <is>
          <t>Capital (total) restant du à la cloture de l'exercice N+1 (Analyse prêt colonne H)</t>
        </is>
      </c>
    </row>
    <row r="15">
      <c r="A15" s="5" t="inlineStr">
        <is>
          <t>2033-B</t>
        </is>
      </c>
    </row>
    <row r="16">
      <c r="B16" s="5" t="n">
        <v>242</v>
      </c>
      <c r="C16" s="5" t="n">
        <v>79</v>
      </c>
      <c r="D16" s="5" t="inlineStr">
        <is>
          <t>Achats de meubles sur exercice</t>
        </is>
      </c>
      <c r="F16" s="5" t="inlineStr">
        <is>
          <t>NOTE 2025: ERREUR SUR LES REMISES</t>
        </is>
      </c>
    </row>
    <row r="17">
      <c r="B17" s="5" t="n">
        <v>264</v>
      </c>
      <c r="C17" s="5" t="n"/>
      <c r="D17" s="5" t="inlineStr">
        <is>
          <t>Automatique</t>
        </is>
      </c>
      <c r="H17" s="5" t="n"/>
    </row>
    <row r="18">
      <c r="B18" s="5" t="n">
        <v>270</v>
      </c>
      <c r="C18" s="5" t="n"/>
      <c r="D18" s="5" t="inlineStr">
        <is>
          <t>Automatique</t>
        </is>
      </c>
      <c r="H18" s="5" t="n"/>
    </row>
    <row r="19">
      <c r="B19" s="5" t="n">
        <v>294</v>
      </c>
      <c r="C19" s="5" t="n">
        <v>9292</v>
      </c>
      <c r="D19" s="5" t="inlineStr">
        <is>
          <t>Intêrets d'emprunt et assurance d'emprunt déductibles sur l'exercice + frais d'ouverture de l'emprunt</t>
        </is>
      </c>
      <c r="H19" s="29" t="inlineStr">
        <is>
          <t>https://www.join-jump.com/guide/declaration-2033</t>
        </is>
      </c>
    </row>
    <row r="20">
      <c r="B20" s="5" t="n">
        <v>310</v>
      </c>
      <c r="D20" s="5" t="inlineStr">
        <is>
          <t>Automatique</t>
        </is>
      </c>
    </row>
    <row r="21">
      <c r="B21" s="5" t="n">
        <v>314</v>
      </c>
      <c r="D21" s="5" t="inlineStr">
        <is>
          <t>Automatique</t>
        </is>
      </c>
    </row>
    <row r="22">
      <c r="B22" s="5" t="n">
        <v>354</v>
      </c>
      <c r="D22" s="5" t="inlineStr">
        <is>
          <t>Automatique</t>
        </is>
      </c>
    </row>
    <row r="23">
      <c r="B23" s="5" t="n">
        <v>372</v>
      </c>
      <c r="D23" s="5" t="inlineStr">
        <is>
          <t>Automatique</t>
        </is>
      </c>
    </row>
  </sheetData>
  <hyperlinks>
    <hyperlink xmlns:r="http://schemas.openxmlformats.org/officeDocument/2006/relationships" ref="H19" r:id="rId1"/>
  </hyperlink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2:D23"/>
  <sheetViews>
    <sheetView workbookViewId="0">
      <selection activeCell="A1" sqref="A1"/>
    </sheetView>
  </sheetViews>
  <sheetFormatPr baseColWidth="8" defaultColWidth="12.5703125" defaultRowHeight="15" customHeight="1"/>
  <sheetData>
    <row r="2">
      <c r="A2" s="5" t="inlineStr">
        <is>
          <t>2033-A</t>
        </is>
      </c>
    </row>
    <row r="3">
      <c r="B3" s="5" t="n">
        <v>64</v>
      </c>
      <c r="C3" s="5" t="n">
        <v>232000</v>
      </c>
      <c r="D3" s="5" t="inlineStr">
        <is>
          <t>Montant versé au promoteur (en acompte, logement non livré)</t>
        </is>
      </c>
    </row>
    <row r="4">
      <c r="B4" s="5" t="n">
        <v>96</v>
      </c>
      <c r="C4" s="5" t="n"/>
      <c r="D4" s="5" t="inlineStr">
        <is>
          <t>Automatique</t>
        </is>
      </c>
    </row>
    <row r="5">
      <c r="B5" s="5" t="n">
        <v>110</v>
      </c>
      <c r="C5" s="5" t="n"/>
      <c r="D5" s="5" t="inlineStr">
        <is>
          <t>Automatique</t>
        </is>
      </c>
    </row>
    <row r="6">
      <c r="B6" s="5" t="inlineStr">
        <is>
          <t>Actif net</t>
        </is>
      </c>
      <c r="C6" s="5" t="n"/>
      <c r="D6" s="5" t="inlineStr">
        <is>
          <t>Automatique</t>
        </is>
      </c>
    </row>
    <row r="7">
      <c r="B7" s="5" t="n">
        <v>120</v>
      </c>
      <c r="C7" s="5" t="n">
        <v>19835</v>
      </c>
      <c r="D7" s="5" t="inlineStr">
        <is>
          <t>A ajuster de maniere que actif net == 180</t>
        </is>
      </c>
    </row>
    <row r="8">
      <c r="B8" s="5" t="n">
        <v>136</v>
      </c>
      <c r="C8" s="41" t="n">
        <v>-2916</v>
      </c>
      <c r="D8" s="5" t="inlineStr">
        <is>
          <t>Report de l'exercice (2033-B)</t>
        </is>
      </c>
    </row>
    <row r="9">
      <c r="B9" s="5" t="n">
        <v>142</v>
      </c>
      <c r="C9" s="5" t="n">
        <v>16919</v>
      </c>
    </row>
    <row r="10">
      <c r="B10" s="5" t="n">
        <v>156</v>
      </c>
      <c r="C10" s="5" t="n">
        <v>215081</v>
      </c>
      <c r="D10" s="5" t="inlineStr">
        <is>
          <t>Capital (total) restant du à la cloture de l'exercice (Analyse prêt colonne H)</t>
        </is>
      </c>
    </row>
    <row r="11">
      <c r="B11" s="5" t="n">
        <v>176</v>
      </c>
      <c r="C11" s="5" t="n"/>
      <c r="D11" s="5" t="inlineStr">
        <is>
          <t>Automatique</t>
        </is>
      </c>
    </row>
    <row r="12">
      <c r="B12" s="5" t="n">
        <v>180</v>
      </c>
      <c r="C12" s="5" t="n"/>
      <c r="D12" s="5" t="inlineStr">
        <is>
          <t>Automatique</t>
        </is>
      </c>
    </row>
    <row r="13">
      <c r="B13" s="5" t="n">
        <v>195</v>
      </c>
      <c r="C13" s="5" t="n">
        <v>204458</v>
      </c>
      <c r="D13" s="5" t="inlineStr">
        <is>
          <t>Capital (total) restant du à la cloture de l'exercice N+1 (Analyse prêt colonne H)</t>
        </is>
      </c>
    </row>
    <row r="15">
      <c r="A15" s="5" t="inlineStr">
        <is>
          <t>2033-B</t>
        </is>
      </c>
    </row>
    <row r="16">
      <c r="B16" s="5" t="n">
        <v>242</v>
      </c>
      <c r="C16" s="5" t="n">
        <v>977</v>
      </c>
      <c r="D16" s="5" t="inlineStr">
        <is>
          <t>Achats de meubles sur exercice</t>
        </is>
      </c>
    </row>
    <row r="17">
      <c r="B17" s="5" t="n">
        <v>264</v>
      </c>
      <c r="C17" s="5" t="n"/>
      <c r="D17" s="5" t="inlineStr">
        <is>
          <t>Automatique</t>
        </is>
      </c>
    </row>
    <row r="18">
      <c r="B18" s="5" t="n">
        <v>270</v>
      </c>
      <c r="C18" s="5" t="n"/>
      <c r="D18" s="5" t="inlineStr">
        <is>
          <t>Automatique</t>
        </is>
      </c>
    </row>
    <row r="19">
      <c r="B19" s="5" t="n">
        <v>294</v>
      </c>
      <c r="C19" s="5" t="n">
        <v>1939</v>
      </c>
      <c r="D19" s="5" t="inlineStr">
        <is>
          <t>Intêrets d'emprunt et assurance d'emprunt déductibles sur l'exercice</t>
        </is>
      </c>
    </row>
    <row r="20">
      <c r="B20" s="5" t="n">
        <v>310</v>
      </c>
      <c r="D20" s="5" t="inlineStr">
        <is>
          <t>Automatique</t>
        </is>
      </c>
    </row>
    <row r="21">
      <c r="B21" s="5" t="n">
        <v>314</v>
      </c>
      <c r="D21" s="5" t="inlineStr">
        <is>
          <t>Automatique</t>
        </is>
      </c>
    </row>
    <row r="22">
      <c r="B22" s="5" t="n">
        <v>354</v>
      </c>
      <c r="D22" s="5" t="inlineStr">
        <is>
          <t>Automatique</t>
        </is>
      </c>
    </row>
    <row r="23">
      <c r="B23" s="5" t="n">
        <v>372</v>
      </c>
      <c r="D23" s="5" t="inlineStr">
        <is>
          <t>Automatique</t>
        </is>
      </c>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E67"/>
  <sheetViews>
    <sheetView topLeftCell="A34" workbookViewId="0">
      <selection activeCell="C26" sqref="C26"/>
    </sheetView>
  </sheetViews>
  <sheetFormatPr baseColWidth="8" defaultColWidth="12.5703125" defaultRowHeight="15" customHeight="1"/>
  <sheetData>
    <row r="1">
      <c r="A1" s="5" t="inlineStr">
        <is>
          <t>2033-C</t>
        </is>
      </c>
    </row>
    <row r="2">
      <c r="B2" s="4" t="inlineStr">
        <is>
          <t>420</t>
        </is>
      </c>
      <c r="C2" s="5" t="n">
        <v>0</v>
      </c>
      <c r="D2" s="5" t="inlineStr">
        <is>
          <t>Valeur en début d'exercice</t>
        </is>
      </c>
    </row>
    <row r="3">
      <c r="B3" s="4" t="inlineStr">
        <is>
          <t>422</t>
        </is>
      </c>
      <c r="C3" s="5" t="n">
        <v>23200</v>
      </c>
      <c r="D3" s="5" t="inlineStr">
        <is>
          <t>10% valeur acquisition (Analyse immobilisation, colonne B/C)</t>
        </is>
      </c>
    </row>
    <row r="4">
      <c r="B4" s="4" t="inlineStr">
        <is>
          <t>426</t>
        </is>
      </c>
      <c r="C4" s="5" t="n"/>
      <c r="D4" s="5" t="inlineStr">
        <is>
          <t>Automatique</t>
        </is>
      </c>
    </row>
    <row r="5">
      <c r="B5" s="4" t="inlineStr">
        <is>
          <t>430</t>
        </is>
      </c>
      <c r="C5" s="5" t="n">
        <v>0</v>
      </c>
      <c r="D5" s="5" t="inlineStr">
        <is>
          <t>Valeur en début d'exercice</t>
        </is>
      </c>
    </row>
    <row r="6">
      <c r="B6" s="4" t="inlineStr">
        <is>
          <t>432</t>
        </is>
      </c>
      <c r="C6" s="5" t="n">
        <v>208800</v>
      </c>
      <c r="D6" s="5" t="inlineStr">
        <is>
          <t>90% valeur acquisition (Analyse immobilisation colonne B/C)</t>
        </is>
      </c>
    </row>
    <row r="7">
      <c r="B7" s="4" t="inlineStr">
        <is>
          <t>436</t>
        </is>
      </c>
      <c r="C7" s="5" t="n"/>
      <c r="D7" s="5" t="inlineStr">
        <is>
          <t>Automatique</t>
        </is>
      </c>
    </row>
    <row r="8">
      <c r="B8" s="4" t="inlineStr">
        <is>
          <t>490</t>
        </is>
      </c>
      <c r="C8" s="5" t="n"/>
      <c r="D8" s="5" t="inlineStr">
        <is>
          <t>Automatique</t>
        </is>
      </c>
    </row>
    <row r="9">
      <c r="B9" s="4" t="inlineStr">
        <is>
          <t>492</t>
        </is>
      </c>
      <c r="C9" s="5" t="n"/>
      <c r="D9" s="5" t="inlineStr">
        <is>
          <t>Automatique</t>
        </is>
      </c>
    </row>
    <row r="10">
      <c r="B10" s="4" t="inlineStr">
        <is>
          <t>496</t>
        </is>
      </c>
      <c r="C10" s="5" t="n"/>
      <c r="D10" s="5" t="inlineStr">
        <is>
          <t>Automatique</t>
        </is>
      </c>
    </row>
    <row r="11">
      <c r="B11" s="4" t="inlineStr">
        <is>
          <t>510</t>
        </is>
      </c>
      <c r="C11" s="5" t="n">
        <v>0</v>
      </c>
      <c r="D11" s="5" t="inlineStr">
        <is>
          <t>Terrain non ammortissable</t>
        </is>
      </c>
    </row>
    <row r="12">
      <c r="B12" s="4" t="inlineStr">
        <is>
          <t>512</t>
        </is>
      </c>
      <c r="C12" s="5" t="n">
        <v>0</v>
      </c>
      <c r="D12" s="5" t="inlineStr">
        <is>
          <t>Terrain non ammortissable</t>
        </is>
      </c>
    </row>
    <row r="13">
      <c r="B13" s="4" t="inlineStr">
        <is>
          <t>516</t>
        </is>
      </c>
      <c r="C13" s="5" t="n"/>
      <c r="D13" s="5" t="inlineStr">
        <is>
          <t>Automatique</t>
        </is>
      </c>
    </row>
    <row r="14">
      <c r="B14" s="4" t="inlineStr">
        <is>
          <t>520</t>
        </is>
      </c>
      <c r="C14" s="5" t="n">
        <v>0</v>
      </c>
      <c r="D14" s="5" t="inlineStr">
        <is>
          <t>1er année aqcuisition</t>
        </is>
      </c>
    </row>
    <row r="15">
      <c r="B15" s="4" t="inlineStr">
        <is>
          <t>522</t>
        </is>
      </c>
      <c r="C15" s="5">
        <f>Immobilisation!E21*0.5</f>
        <v/>
      </c>
      <c r="D15" s="5" t="inlineStr">
        <is>
          <t>Somme des amortissements annuels au prorata (Analyse immobilisation colonne E)</t>
        </is>
      </c>
    </row>
    <row r="16">
      <c r="B16" s="4" t="inlineStr">
        <is>
          <t>526</t>
        </is>
      </c>
      <c r="D16" s="5" t="inlineStr">
        <is>
          <t>Automatique</t>
        </is>
      </c>
    </row>
    <row r="17">
      <c r="B17" s="4" t="inlineStr">
        <is>
          <t>570</t>
        </is>
      </c>
      <c r="D17" s="5" t="inlineStr">
        <is>
          <t>Automatique</t>
        </is>
      </c>
    </row>
    <row r="18">
      <c r="B18" s="4" t="inlineStr">
        <is>
          <t>572</t>
        </is>
      </c>
      <c r="D18" s="5" t="inlineStr">
        <is>
          <t>Automatique</t>
        </is>
      </c>
    </row>
    <row r="19">
      <c r="B19" s="4" t="inlineStr">
        <is>
          <t>576</t>
        </is>
      </c>
      <c r="D19" s="5" t="inlineStr">
        <is>
          <t>Automatique</t>
        </is>
      </c>
    </row>
    <row r="20">
      <c r="B20" s="3" t="n"/>
    </row>
    <row r="21">
      <c r="A21" s="5" t="inlineStr">
        <is>
          <t>2033-B</t>
        </is>
      </c>
      <c r="B21" s="3" t="n"/>
    </row>
    <row r="22">
      <c r="B22" s="4" t="inlineStr">
        <is>
          <t>218</t>
        </is>
      </c>
      <c r="C22" s="1">
        <f>IFERROR(__xludf.DUMMYFUNCTION("ROUNDUP(IFERROR(SUM(FILTER(Table!G2:G1033, Table!D2:D1033=""Loyer"", YEAR(Table!A2:A1033)=2024)),0))"),4844)</f>
        <v/>
      </c>
      <c r="D22" s="5" t="inlineStr">
        <is>
          <t>Loyers</t>
        </is>
      </c>
    </row>
    <row r="23">
      <c r="B23" s="4" t="inlineStr">
        <is>
          <t>230</t>
        </is>
      </c>
      <c r="C23" s="1">
        <f>IFERROR(__xludf.DUMMYFUNCTION("ROUNDUP(IFERROR(SUM(FILTER(Table!G2:G1033, Table!D2:D1033=""Provision"", YEAR(Table!A2:A1033)=2024)),0))"),553)</f>
        <v/>
      </c>
      <c r="D23" s="5" t="inlineStr">
        <is>
          <t>Provisions sur charges (553)</t>
        </is>
      </c>
    </row>
    <row r="24">
      <c r="B24" s="4" t="inlineStr">
        <is>
          <t>232</t>
        </is>
      </c>
      <c r="C24" s="5" t="n"/>
      <c r="D24" s="5" t="inlineStr">
        <is>
          <t>Automatique</t>
        </is>
      </c>
    </row>
    <row r="25">
      <c r="B25" s="4" t="inlineStr">
        <is>
          <t>242</t>
        </is>
      </c>
      <c r="C25" s="5">
        <f>ROUNDUP(SUM(C26:C32),0)</f>
        <v/>
      </c>
      <c r="D25" s="5" t="inlineStr">
        <is>
          <t>Total charges immédiates sans immobilisation</t>
        </is>
      </c>
    </row>
    <row r="26">
      <c r="B26" s="4" t="inlineStr">
        <is>
          <t>242*</t>
        </is>
      </c>
      <c r="C26" s="5">
        <f>IFERROR(__xludf.DUMMYFUNCTION("(IFERROR(SUM(FILTER(Table!F2:F1033, Table!D2:D1033=""PNO"", YEAR(Table!A2:A1033)=2024)),0))"),114.85)</f>
        <v/>
      </c>
      <c r="D26" s="5" t="inlineStr">
        <is>
          <t>Assurance PNO</t>
        </is>
      </c>
    </row>
    <row r="27">
      <c r="B27" s="4" t="inlineStr">
        <is>
          <t>242*</t>
        </is>
      </c>
      <c r="C27" s="5">
        <f>IFERROR(__xludf.DUMMYFUNCTION("(IFERROR(SUM(FILTER(Table!F3:F1033, Table!D3:D1033=""Charges"", YEAR(Table!A3:A1033)=2024)),0))"),1459.73)</f>
        <v/>
      </c>
      <c r="D27" s="5" t="inlineStr">
        <is>
          <t>Charges de copropriété</t>
        </is>
      </c>
    </row>
    <row r="28">
      <c r="B28" s="4" t="inlineStr">
        <is>
          <t>242*</t>
        </is>
      </c>
      <c r="C28" s="5">
        <f>IFERROR(__xludf.DUMMYFUNCTION("(IFERROR(SUM(FILTER(Table!F2:F1033, Table!D2:D1033=""Meuble"", YEAR(Table!A2:A1033)=2024)), 0))"),2235.89999999999)</f>
        <v/>
      </c>
      <c r="D28" s="5" t="inlineStr">
        <is>
          <t>Meubles (factures)  (&lt; 600 TTC par pièces)</t>
        </is>
      </c>
    </row>
    <row r="29">
      <c r="B29" s="4" t="inlineStr">
        <is>
          <t>242*</t>
        </is>
      </c>
      <c r="C29" s="5">
        <f>IFERROR(__xludf.DUMMYFUNCTION("(IFERROR(SUM(FILTER(Table!F2:F1033, Table!D2:D1033=""Meuble nf"", YEAR(Table!A2:A1033)=2024)), 0))"),706.9)</f>
        <v/>
      </c>
      <c r="D29" s="5" t="inlineStr">
        <is>
          <t>Meubles (tickets caisse)  (&lt; 600 TTC par pièces)</t>
        </is>
      </c>
    </row>
    <row r="30">
      <c r="B30" s="4" t="inlineStr">
        <is>
          <t>242*</t>
        </is>
      </c>
      <c r="C30" s="5">
        <f>IFERROR(__xludf.DUMMYFUNCTION("(IFERROR(SUM(FILTER(Table!F2:F1033, Table!D2:D1033=""Travaux"", YEAR(Table!A2:A1033)=2024)), 0))"),1235.34)</f>
        <v/>
      </c>
      <c r="D30" s="5" t="inlineStr">
        <is>
          <t>Travaux (&lt; 600 TTC)</t>
        </is>
      </c>
    </row>
    <row r="31">
      <c r="B31" s="4" t="inlineStr">
        <is>
          <t>242*</t>
        </is>
      </c>
      <c r="C31" s="5">
        <f>IFERROR(__xludf.DUMMYFUNCTION("(IFERROR(SUM(FILTER(Table!F2:F1033, Table!D2:D1033=""Electromenager"", YEAR(Table!A2:A1033)=2024)), 0))"),1983.08)</f>
        <v/>
      </c>
      <c r="D31" s="5" t="inlineStr">
        <is>
          <t>Electromenager (&lt; 600 TTC par pièces)</t>
        </is>
      </c>
    </row>
    <row r="32">
      <c r="B32" s="4" t="inlineStr">
        <is>
          <t>242*</t>
        </is>
      </c>
      <c r="C32" s="5">
        <f>IFERROR(__xludf.DUMMYFUNCTION("(IFERROR(SUM(FILTER(Table!F3:F1033, Table!D3:D1033=""Gestion"", YEAR(Table!A3:A1033)=2024)), 0))"),106.8)</f>
        <v/>
      </c>
      <c r="D32" s="5" t="inlineStr">
        <is>
          <t>Frais de gestion</t>
        </is>
      </c>
    </row>
    <row r="33">
      <c r="B33" s="4" t="inlineStr">
        <is>
          <t>244</t>
        </is>
      </c>
      <c r="C33" s="5" t="n">
        <v>0</v>
      </c>
      <c r="D33" s="5" t="inlineStr">
        <is>
          <t>Taxe foncière</t>
        </is>
      </c>
    </row>
    <row r="34">
      <c r="B34" s="4" t="inlineStr">
        <is>
          <t>254</t>
        </is>
      </c>
      <c r="C34" s="5">
        <f>Immobilisation!E21*0.5</f>
        <v/>
      </c>
      <c r="D34" s="5" t="inlineStr">
        <is>
          <t>Amortissements reportés du formulaire 2033-C (522)</t>
        </is>
      </c>
    </row>
    <row r="35">
      <c r="B35" s="4" t="inlineStr">
        <is>
          <t>264</t>
        </is>
      </c>
      <c r="C35" s="5" t="n"/>
      <c r="D35" s="5" t="inlineStr">
        <is>
          <t>Automatique</t>
        </is>
      </c>
    </row>
    <row r="36">
      <c r="B36" s="4" t="inlineStr">
        <is>
          <t>270</t>
        </is>
      </c>
      <c r="C36" s="5" t="n"/>
      <c r="D36" s="5" t="inlineStr">
        <is>
          <t>Automatique</t>
        </is>
      </c>
    </row>
    <row r="37">
      <c r="B37" s="4" t="inlineStr">
        <is>
          <t>294</t>
        </is>
      </c>
      <c r="C37" s="5">
        <f>IFERROR(__xludf.DUMMYFUNCTION("ROUNDUP(IFERROR(SUM(FILTER(Table!F2:F1033, Table!D2:D1033=""Assurance"", YEAR(Table!A2:A1033)=2024)),0)+IFERROR(SUM(FILTER(Mortgage!J2:J1033, YEAR(Mortgage!A2:A1033)=2024)),0))"),2189)</f>
        <v/>
      </c>
      <c r="D37" s="5" t="inlineStr">
        <is>
          <t>Intêrets d'emprunt et assurance d'emprunt déductibles sur l'exercice (Analyse prêt colonne O)</t>
        </is>
      </c>
    </row>
    <row r="38">
      <c r="B38" s="4" t="inlineStr">
        <is>
          <t>310</t>
        </is>
      </c>
      <c r="D38" s="5" t="inlineStr">
        <is>
          <t>Automatique</t>
        </is>
      </c>
    </row>
    <row r="39">
      <c r="B39" s="4" t="inlineStr">
        <is>
          <t>314</t>
        </is>
      </c>
      <c r="D39" s="5" t="inlineStr">
        <is>
          <t>Automatique</t>
        </is>
      </c>
    </row>
    <row r="40">
      <c r="B40" s="4" t="inlineStr">
        <is>
          <t>318</t>
        </is>
      </c>
      <c r="C40" s="5" t="n">
        <v>4176</v>
      </c>
      <c r="D40" s="5" t="inlineStr">
        <is>
          <t>Part de l'amortissement non utilisé</t>
        </is>
      </c>
    </row>
    <row r="41">
      <c r="B41" s="4" t="inlineStr">
        <is>
          <t>350</t>
        </is>
      </c>
      <c r="C41" s="5" t="n">
        <v>0</v>
      </c>
      <c r="D41" s="5" t="inlineStr">
        <is>
          <t>Usage d'un amortissement non utilisé antérieur (somme des 318)</t>
        </is>
      </c>
    </row>
    <row r="42">
      <c r="B42" s="4" t="inlineStr">
        <is>
          <t>352</t>
        </is>
      </c>
      <c r="D42" s="5" t="inlineStr">
        <is>
          <t>Automatique</t>
        </is>
      </c>
    </row>
    <row r="43">
      <c r="B43" s="4" t="inlineStr">
        <is>
          <t>354</t>
        </is>
      </c>
      <c r="C43" s="5" t="n"/>
      <c r="D43" s="5" t="inlineStr">
        <is>
          <t>Automatique</t>
        </is>
      </c>
    </row>
    <row r="44">
      <c r="B44" s="4" t="inlineStr">
        <is>
          <t>360</t>
        </is>
      </c>
      <c r="C44" s="5" t="n">
        <v>0</v>
      </c>
      <c r="D44" s="5" t="inlineStr">
        <is>
          <t>Usage d'un déficit antérieur</t>
        </is>
      </c>
    </row>
    <row r="45">
      <c r="B45" s="4" t="inlineStr">
        <is>
          <t>370</t>
        </is>
      </c>
      <c r="D45" s="5" t="inlineStr">
        <is>
          <t>Automatique</t>
        </is>
      </c>
    </row>
    <row r="46">
      <c r="B46" s="4" t="inlineStr">
        <is>
          <t>372</t>
        </is>
      </c>
      <c r="D46" s="5" t="inlineStr">
        <is>
          <t>Automatique</t>
        </is>
      </c>
    </row>
    <row r="47">
      <c r="B47" s="3" t="n"/>
    </row>
    <row r="48">
      <c r="A48" s="5" t="inlineStr">
        <is>
          <t>2033-A</t>
        </is>
      </c>
      <c r="B48" s="3" t="n"/>
    </row>
    <row r="49">
      <c r="B49" s="4" t="inlineStr">
        <is>
          <t>28</t>
        </is>
      </c>
      <c r="C49" s="5" t="n">
        <v>232000</v>
      </c>
      <c r="D49" s="5" t="inlineStr">
        <is>
          <t>Prix immobilier du logement</t>
        </is>
      </c>
    </row>
    <row r="50">
      <c r="B50" s="4" t="inlineStr">
        <is>
          <t>30</t>
        </is>
      </c>
      <c r="C50" s="1">
        <f>Immobilisation!E21*0.5</f>
        <v/>
      </c>
      <c r="D50" s="5" t="inlineStr">
        <is>
          <t>Amortissement total (meme si non consommé) depuis</t>
        </is>
      </c>
    </row>
    <row r="51">
      <c r="B51" s="4" t="inlineStr">
        <is>
          <t>44</t>
        </is>
      </c>
      <c r="C51" s="5" t="n"/>
      <c r="D51" s="5" t="inlineStr">
        <is>
          <t>Automatique</t>
        </is>
      </c>
    </row>
    <row r="52">
      <c r="B52" s="4" t="inlineStr">
        <is>
          <t>48</t>
        </is>
      </c>
      <c r="D52" s="5" t="inlineStr">
        <is>
          <t>Automatique</t>
        </is>
      </c>
    </row>
    <row r="53">
      <c r="B53" s="4" t="inlineStr">
        <is>
          <t>110</t>
        </is>
      </c>
      <c r="D53" s="5" t="inlineStr">
        <is>
          <t>Automatique</t>
        </is>
      </c>
    </row>
    <row r="54">
      <c r="B54" s="4" t="inlineStr">
        <is>
          <t>112</t>
        </is>
      </c>
      <c r="D54" s="5" t="inlineStr">
        <is>
          <t>Automatique</t>
        </is>
      </c>
    </row>
    <row r="55">
      <c r="B55" s="4" t="inlineStr">
        <is>
          <t>120</t>
        </is>
      </c>
      <c r="C55" s="1" t="n">
        <v>31619</v>
      </c>
      <c r="D55" s="5" t="inlineStr">
        <is>
          <t>112 - 156 - 136</t>
        </is>
      </c>
    </row>
    <row r="56">
      <c r="B56" s="4" t="inlineStr">
        <is>
          <t>136</t>
        </is>
      </c>
      <c r="C56" s="41" t="n">
        <v>-8452</v>
      </c>
      <c r="D56" s="5" t="inlineStr">
        <is>
          <t>Report exercice 2033-B (310)</t>
        </is>
      </c>
    </row>
    <row r="57">
      <c r="B57" s="4" t="inlineStr">
        <is>
          <t>142</t>
        </is>
      </c>
      <c r="C57" s="5" t="n"/>
      <c r="D57" s="5" t="inlineStr">
        <is>
          <t>Automatique</t>
        </is>
      </c>
    </row>
    <row r="58">
      <c r="B58" s="4" t="n"/>
      <c r="C58" s="5" t="n"/>
      <c r="D58" s="5" t="n"/>
    </row>
    <row r="59">
      <c r="B59" s="4" t="inlineStr">
        <is>
          <t>156</t>
        </is>
      </c>
      <c r="C59" s="5" t="n">
        <v>204458</v>
      </c>
      <c r="D59" s="5" t="inlineStr">
        <is>
          <t>Capital (total) restant du à la cloture de l'exercice (Analyse prêt colonne H)</t>
        </is>
      </c>
    </row>
    <row r="60">
      <c r="B60" s="4" t="inlineStr">
        <is>
          <t>176</t>
        </is>
      </c>
      <c r="C60" s="5" t="n"/>
      <c r="D60" s="5" t="inlineStr">
        <is>
          <t>Automatique</t>
        </is>
      </c>
    </row>
    <row r="61">
      <c r="B61" s="4" t="inlineStr">
        <is>
          <t>180</t>
        </is>
      </c>
      <c r="C61" s="5" t="n"/>
      <c r="D61" s="5" t="inlineStr">
        <is>
          <t>Automatique</t>
        </is>
      </c>
    </row>
    <row r="62">
      <c r="B62" s="4" t="inlineStr">
        <is>
          <t>195</t>
        </is>
      </c>
      <c r="C62" s="5" t="n">
        <v>193574</v>
      </c>
      <c r="D62" s="5" t="inlineStr">
        <is>
          <t>Capital (total) restant du à la cloture de l'exercice N+1 (Analyse prêt colonne H)</t>
        </is>
      </c>
    </row>
    <row r="64">
      <c r="A64" s="4" t="inlineStr">
        <is>
          <t>2031</t>
        </is>
      </c>
    </row>
    <row r="65">
      <c r="B65" s="5" t="inlineStr">
        <is>
          <t>C1</t>
        </is>
      </c>
      <c r="C65" s="5" t="n">
        <v>4635</v>
      </c>
      <c r="D65" s="5" t="inlineStr">
        <is>
          <t>Automatique</t>
        </is>
      </c>
      <c r="E65" s="5" t="inlineStr">
        <is>
          <t>2033-B 372</t>
        </is>
      </c>
    </row>
    <row r="66">
      <c r="B66" s="5" t="inlineStr">
        <is>
          <t>C3</t>
        </is>
      </c>
      <c r="D66" s="5" t="inlineStr">
        <is>
          <t>Automatique</t>
        </is>
      </c>
      <c r="E66" s="5" t="inlineStr">
        <is>
          <t>2033-B 372</t>
        </is>
      </c>
    </row>
    <row r="67">
      <c r="B67" s="5" t="inlineStr">
        <is>
          <t>C4</t>
        </is>
      </c>
      <c r="D67" s="5" t="inlineStr">
        <is>
          <t>Automatique</t>
        </is>
      </c>
      <c r="E67" s="5" t="inlineStr">
        <is>
          <t>2033-B 372</t>
        </is>
      </c>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D62"/>
  <sheetViews>
    <sheetView workbookViewId="0">
      <selection activeCell="A1" sqref="A1"/>
    </sheetView>
  </sheetViews>
  <sheetFormatPr baseColWidth="8" defaultColWidth="12.5703125" defaultRowHeight="15" customHeight="1"/>
  <sheetData>
    <row r="1">
      <c r="A1" s="5" t="n">
        <v>2025</v>
      </c>
    </row>
    <row r="2">
      <c r="A2" s="5" t="inlineStr">
        <is>
          <t>2033-C</t>
        </is>
      </c>
    </row>
    <row r="3">
      <c r="B3" s="4" t="inlineStr">
        <is>
          <t>420</t>
        </is>
      </c>
      <c r="C3" s="5" t="n">
        <v>0</v>
      </c>
      <c r="D3" s="5" t="inlineStr">
        <is>
          <t>Valeur en début d'exercice</t>
        </is>
      </c>
    </row>
    <row r="4">
      <c r="B4" s="4" t="inlineStr">
        <is>
          <t>422</t>
        </is>
      </c>
      <c r="C4" s="5" t="n">
        <v>23200</v>
      </c>
      <c r="D4" s="5" t="inlineStr">
        <is>
          <t>10% valeur acquisition (Analyse immobilisation, colonne B/C)</t>
        </is>
      </c>
    </row>
    <row r="5">
      <c r="B5" s="4" t="inlineStr">
        <is>
          <t>426</t>
        </is>
      </c>
      <c r="C5" s="5" t="n"/>
      <c r="D5" s="5" t="inlineStr">
        <is>
          <t>Automatique</t>
        </is>
      </c>
    </row>
    <row r="6">
      <c r="B6" s="4" t="inlineStr">
        <is>
          <t>430</t>
        </is>
      </c>
      <c r="C6" s="5" t="n">
        <v>0</v>
      </c>
      <c r="D6" s="5" t="inlineStr">
        <is>
          <t>Valeur en début d'exercice</t>
        </is>
      </c>
    </row>
    <row r="7">
      <c r="B7" s="4" t="inlineStr">
        <is>
          <t>432</t>
        </is>
      </c>
      <c r="C7" s="5" t="n">
        <v>208800</v>
      </c>
      <c r="D7" s="5" t="inlineStr">
        <is>
          <t>90% valeur acquisition (Analyse immobilisation colonne B/C)</t>
        </is>
      </c>
    </row>
    <row r="8">
      <c r="B8" s="4" t="inlineStr">
        <is>
          <t>436</t>
        </is>
      </c>
      <c r="C8" s="5" t="n"/>
      <c r="D8" s="5" t="inlineStr">
        <is>
          <t>Automatique</t>
        </is>
      </c>
    </row>
    <row r="9">
      <c r="B9" s="4" t="inlineStr">
        <is>
          <t>490</t>
        </is>
      </c>
      <c r="C9" s="5" t="n"/>
      <c r="D9" s="5" t="inlineStr">
        <is>
          <t>Automatique</t>
        </is>
      </c>
    </row>
    <row r="10">
      <c r="B10" s="4" t="inlineStr">
        <is>
          <t>492</t>
        </is>
      </c>
      <c r="C10" s="5" t="n"/>
      <c r="D10" s="5" t="inlineStr">
        <is>
          <t>Automatique</t>
        </is>
      </c>
    </row>
    <row r="11">
      <c r="B11" s="4" t="inlineStr">
        <is>
          <t>496</t>
        </is>
      </c>
      <c r="C11" s="5" t="n"/>
      <c r="D11" s="5" t="inlineStr">
        <is>
          <t>Automatique</t>
        </is>
      </c>
    </row>
    <row r="12">
      <c r="B12" s="4" t="inlineStr">
        <is>
          <t>510</t>
        </is>
      </c>
      <c r="C12" s="5" t="n">
        <v>0</v>
      </c>
      <c r="D12" s="5" t="inlineStr">
        <is>
          <t>Terrain non ammortissable</t>
        </is>
      </c>
    </row>
    <row r="13">
      <c r="B13" s="4" t="inlineStr">
        <is>
          <t>512</t>
        </is>
      </c>
      <c r="C13" s="5" t="n">
        <v>0</v>
      </c>
      <c r="D13" s="5" t="inlineStr">
        <is>
          <t>Terrain non ammortissable</t>
        </is>
      </c>
    </row>
    <row r="14">
      <c r="B14" s="4" t="inlineStr">
        <is>
          <t>516</t>
        </is>
      </c>
      <c r="C14" s="5" t="n"/>
      <c r="D14" s="5" t="inlineStr">
        <is>
          <t>Automatique</t>
        </is>
      </c>
    </row>
    <row r="15">
      <c r="B15" s="4" t="inlineStr">
        <is>
          <t>520</t>
        </is>
      </c>
      <c r="C15" s="5" t="n">
        <v>0</v>
      </c>
      <c r="D15" s="5" t="inlineStr">
        <is>
          <t>1er année aqcuisition</t>
        </is>
      </c>
    </row>
    <row r="16">
      <c r="B16" s="4" t="inlineStr">
        <is>
          <t>522</t>
        </is>
      </c>
      <c r="C16" s="5">
        <f>Immobilisation!E21</f>
        <v/>
      </c>
      <c r="D16" s="5" t="inlineStr">
        <is>
          <t>Somme des amortissements annuels au prorata (Analyse immobilisation colonne E)</t>
        </is>
      </c>
    </row>
    <row r="17">
      <c r="B17" s="4" t="inlineStr">
        <is>
          <t>526</t>
        </is>
      </c>
      <c r="D17" s="5" t="inlineStr">
        <is>
          <t>Automatique</t>
        </is>
      </c>
    </row>
    <row r="18">
      <c r="B18" s="4" t="inlineStr">
        <is>
          <t>570</t>
        </is>
      </c>
      <c r="D18" s="5" t="inlineStr">
        <is>
          <t>Automatique</t>
        </is>
      </c>
    </row>
    <row r="19">
      <c r="B19" s="4" t="inlineStr">
        <is>
          <t>572</t>
        </is>
      </c>
      <c r="D19" s="5" t="inlineStr">
        <is>
          <t>Automatique</t>
        </is>
      </c>
    </row>
    <row r="20">
      <c r="B20" s="4" t="inlineStr">
        <is>
          <t>576</t>
        </is>
      </c>
      <c r="D20" s="5" t="inlineStr">
        <is>
          <t>Automatique</t>
        </is>
      </c>
    </row>
    <row r="21">
      <c r="B21" s="3" t="n"/>
    </row>
    <row r="22">
      <c r="A22" s="5" t="inlineStr">
        <is>
          <t>2033-B</t>
        </is>
      </c>
      <c r="B22" s="3" t="n"/>
    </row>
    <row r="23">
      <c r="B23" s="4" t="inlineStr">
        <is>
          <t>218</t>
        </is>
      </c>
      <c r="C23" s="1">
        <f>IFERROR(__xludf.DUMMYFUNCTION("ROUNDUP(IFERROR(SUM(FILTER(Table!G2:G1033, Table!D2:D1033=""Loyer"", YEAR(Table!A2:A1033)=A1)),0))"),12600)</f>
        <v/>
      </c>
      <c r="D23" s="5" t="inlineStr">
        <is>
          <t>Loyers</t>
        </is>
      </c>
    </row>
    <row r="24">
      <c r="B24" s="4" t="inlineStr">
        <is>
          <t>230</t>
        </is>
      </c>
      <c r="C24" s="1">
        <f>IFERROR(__xludf.DUMMYFUNCTION("ROUNDUP(IFERROR(SUM(FILTER(Table!G2:G1033, Table!D2:D1033=""Provision"", YEAR(Table!A2:A1033)=A1)),0))"),1440)</f>
        <v/>
      </c>
      <c r="D24" s="5" t="inlineStr">
        <is>
          <t>Provisions sur charges (553)</t>
        </is>
      </c>
    </row>
    <row r="25">
      <c r="B25" s="4" t="inlineStr">
        <is>
          <t>232</t>
        </is>
      </c>
      <c r="C25" s="5" t="n"/>
      <c r="D25" s="5" t="inlineStr">
        <is>
          <t>Automatique</t>
        </is>
      </c>
    </row>
    <row r="26">
      <c r="B26" s="4" t="inlineStr">
        <is>
          <t>242</t>
        </is>
      </c>
      <c r="C26" s="5">
        <f>ROUNDUP(SUM(C27:C32),0)</f>
        <v/>
      </c>
      <c r="D26" s="5" t="inlineStr">
        <is>
          <t>Total charges immédiates sans immobilisation</t>
        </is>
      </c>
    </row>
    <row r="27">
      <c r="B27" s="4" t="inlineStr">
        <is>
          <t>242*</t>
        </is>
      </c>
      <c r="C27" s="5">
        <f>IFERROR(__xludf.DUMMYFUNCTION("(IFERROR(SUM(FILTER(Table!F2:F1033, Table!D2:D1033=""PNO"", YEAR(Table!A2:A1033)=A1)),0))"),127.5)</f>
        <v/>
      </c>
      <c r="D27" s="5" t="inlineStr">
        <is>
          <t>Assurance PNO</t>
        </is>
      </c>
    </row>
    <row r="28">
      <c r="B28" s="4" t="inlineStr">
        <is>
          <t>242*</t>
        </is>
      </c>
      <c r="C28" s="5">
        <f>IFERROR(__xludf.DUMMYFUNCTION("(IFERROR(SUM(FILTER(Table!F3:F1033, Table!D3:D1033=""Charges"", YEAR(Table!A3:A1033)=A1)),0))"),1866.28)</f>
        <v/>
      </c>
      <c r="D28" s="5" t="inlineStr">
        <is>
          <t>Charges de copropriété</t>
        </is>
      </c>
    </row>
    <row r="29">
      <c r="B29" s="4" t="inlineStr">
        <is>
          <t>242*</t>
        </is>
      </c>
      <c r="C29" s="5">
        <f>IFERROR(__xludf.DUMMYFUNCTION("(IFERROR(SUM(FILTER(Table!F2:F1033, Table!D2:D1033=""Meuble"", YEAR(Table!A2:A1033)=A1)), 0))"),0)</f>
        <v/>
      </c>
      <c r="D29" s="5" t="inlineStr">
        <is>
          <t>Meubles (factures)  (&lt; 600 TTC par pièces)</t>
        </is>
      </c>
    </row>
    <row r="30">
      <c r="B30" s="4" t="inlineStr">
        <is>
          <t>242*</t>
        </is>
      </c>
      <c r="C30" s="5">
        <f>IFERROR(__xludf.DUMMYFUNCTION("(IFERROR(SUM(FILTER(Table!F2:F1033, Table!D2:D1033=""Meuble nf"", YEAR(Table!A2:A1033)=A1)), 0))"),0)</f>
        <v/>
      </c>
      <c r="D30" s="5" t="inlineStr">
        <is>
          <t>Meubles (tickets caisse)  (&lt; 600 TTC par pièces)</t>
        </is>
      </c>
    </row>
    <row r="31">
      <c r="B31" s="4" t="inlineStr">
        <is>
          <t>242*</t>
        </is>
      </c>
      <c r="C31" s="5">
        <f>IFERROR(__xludf.DUMMYFUNCTION("(IFERROR(SUM(FILTER(Table!F2:F1033, Table!D2:D1033=""Travaux"", YEAR(Table!A2:A1033)=A1)), 0))"),0)</f>
        <v/>
      </c>
      <c r="D31" s="5" t="inlineStr">
        <is>
          <t>Travaux (&lt; 600 TTC)</t>
        </is>
      </c>
    </row>
    <row r="32">
      <c r="B32" s="4" t="inlineStr">
        <is>
          <t>242*</t>
        </is>
      </c>
      <c r="C32" s="5">
        <f>IFERROR(__xludf.DUMMYFUNCTION("(IFERROR(SUM(FILTER(Table!F2:F1033, Table!D2:D1033=""Electromenager"", YEAR(Table!A2:A1033)=A1)), 0))"),0)</f>
        <v/>
      </c>
      <c r="D32" s="5" t="inlineStr">
        <is>
          <t>Electromenager (&lt; 600 TTC par pièces)</t>
        </is>
      </c>
    </row>
    <row r="33">
      <c r="B33" s="4" t="inlineStr">
        <is>
          <t>244</t>
        </is>
      </c>
      <c r="C33" s="5" t="n">
        <v>0</v>
      </c>
      <c r="D33" s="5" t="inlineStr">
        <is>
          <t>Taxe foncière</t>
        </is>
      </c>
    </row>
    <row r="34">
      <c r="B34" s="4" t="inlineStr">
        <is>
          <t>254</t>
        </is>
      </c>
      <c r="C34" s="5" t="n">
        <v>8352</v>
      </c>
      <c r="D34" s="5" t="inlineStr">
        <is>
          <t>Amortissements reportés du formulaire 2033-C (522)</t>
        </is>
      </c>
    </row>
    <row r="35">
      <c r="B35" s="4" t="inlineStr">
        <is>
          <t>264</t>
        </is>
      </c>
      <c r="C35" s="5" t="n"/>
      <c r="D35" s="5" t="inlineStr">
        <is>
          <t>Automatique</t>
        </is>
      </c>
    </row>
    <row r="36">
      <c r="B36" s="4" t="inlineStr">
        <is>
          <t>270</t>
        </is>
      </c>
      <c r="C36" s="5" t="n"/>
      <c r="D36" s="5" t="inlineStr">
        <is>
          <t>Automatique</t>
        </is>
      </c>
    </row>
    <row r="37">
      <c r="B37" s="4" t="inlineStr">
        <is>
          <t>294</t>
        </is>
      </c>
      <c r="C37" s="5">
        <f>IFERROR(__xludf.DUMMYFUNCTION("ROUNDUP(IFERROR(SUM(FILTER(Table!F2:F1033, Table!D2:D1033=""Assurance"", YEAR(Table!A2:A1033)=A1)),0)+IFERROR(SUM(FILTER(Mortgage!J2:J1033, YEAR(Mortgage!A2:A1033)=A1)),0))"),2136)</f>
        <v/>
      </c>
      <c r="D37" s="5" t="inlineStr">
        <is>
          <t>Intêrets d'emprunt et assurance d'emprunt déductibles sur l'exercice (Analyse prêt colonne O)</t>
        </is>
      </c>
    </row>
    <row r="38">
      <c r="B38" s="4" t="inlineStr">
        <is>
          <t>310</t>
        </is>
      </c>
      <c r="D38" s="5" t="inlineStr">
        <is>
          <t>Automatique</t>
        </is>
      </c>
    </row>
    <row r="39">
      <c r="B39" s="4" t="inlineStr">
        <is>
          <t>314</t>
        </is>
      </c>
      <c r="D39" s="5" t="inlineStr">
        <is>
          <t>Automatique</t>
        </is>
      </c>
    </row>
    <row r="40">
      <c r="B40" s="4" t="inlineStr">
        <is>
          <t>318</t>
        </is>
      </c>
      <c r="C40" s="5" t="n">
        <v>4176</v>
      </c>
      <c r="D40" s="5" t="inlineStr">
        <is>
          <t>Part de l'amortissement non utilisé</t>
        </is>
      </c>
    </row>
    <row r="41">
      <c r="B41" s="4" t="inlineStr">
        <is>
          <t>350</t>
        </is>
      </c>
      <c r="C41" s="5" t="n">
        <v>0</v>
      </c>
      <c r="D41" s="5" t="inlineStr">
        <is>
          <t>Usage d'un amortissement non utilisé antérieur (somme des 318)</t>
        </is>
      </c>
    </row>
    <row r="42">
      <c r="B42" s="4" t="inlineStr">
        <is>
          <t>352</t>
        </is>
      </c>
      <c r="D42" s="5" t="inlineStr">
        <is>
          <t>Automatique</t>
        </is>
      </c>
    </row>
    <row r="43">
      <c r="B43" s="4" t="inlineStr">
        <is>
          <t>354</t>
        </is>
      </c>
      <c r="C43" s="5" t="n"/>
      <c r="D43" s="5" t="inlineStr">
        <is>
          <t>Automatique</t>
        </is>
      </c>
    </row>
    <row r="44">
      <c r="B44" s="4" t="inlineStr">
        <is>
          <t>360</t>
        </is>
      </c>
      <c r="C44" s="5" t="n">
        <v>0</v>
      </c>
      <c r="D44" s="5" t="inlineStr">
        <is>
          <t>Usage d'un déficit antérieur</t>
        </is>
      </c>
    </row>
    <row r="45">
      <c r="B45" s="4" t="inlineStr">
        <is>
          <t>370</t>
        </is>
      </c>
      <c r="D45" s="5" t="inlineStr">
        <is>
          <t>Automatique</t>
        </is>
      </c>
    </row>
    <row r="46">
      <c r="B46" s="4" t="inlineStr">
        <is>
          <t>372</t>
        </is>
      </c>
      <c r="D46" s="5" t="inlineStr">
        <is>
          <t>Automatique</t>
        </is>
      </c>
    </row>
    <row r="47">
      <c r="B47" s="3" t="n"/>
    </row>
    <row r="48">
      <c r="A48" s="5" t="inlineStr">
        <is>
          <t>2033-A</t>
        </is>
      </c>
      <c r="B48" s="3" t="n"/>
    </row>
    <row r="49">
      <c r="B49" s="4" t="inlineStr">
        <is>
          <t>28</t>
        </is>
      </c>
      <c r="C49" s="5" t="n">
        <v>232000</v>
      </c>
      <c r="D49" s="5" t="inlineStr">
        <is>
          <t>Prix immobilier du logement</t>
        </is>
      </c>
    </row>
    <row r="50">
      <c r="B50" s="4" t="inlineStr">
        <is>
          <t>30</t>
        </is>
      </c>
      <c r="C50" s="1" t="n">
        <v>4176</v>
      </c>
      <c r="D50" s="5" t="inlineStr">
        <is>
          <t>Amortissement total (meme si non consommé) depuis</t>
        </is>
      </c>
    </row>
    <row r="51">
      <c r="B51" s="4" t="inlineStr">
        <is>
          <t>44</t>
        </is>
      </c>
      <c r="C51" s="5" t="n"/>
      <c r="D51" s="5" t="inlineStr">
        <is>
          <t>Automatique</t>
        </is>
      </c>
    </row>
    <row r="52">
      <c r="B52" s="4" t="inlineStr">
        <is>
          <t>48</t>
        </is>
      </c>
      <c r="D52" s="5" t="inlineStr">
        <is>
          <t>Automatique</t>
        </is>
      </c>
    </row>
    <row r="53">
      <c r="B53" s="4" t="inlineStr">
        <is>
          <t>110</t>
        </is>
      </c>
      <c r="D53" s="5" t="inlineStr">
        <is>
          <t>Automatique</t>
        </is>
      </c>
    </row>
    <row r="54">
      <c r="B54" s="4" t="inlineStr">
        <is>
          <t>112</t>
        </is>
      </c>
      <c r="D54" s="5" t="inlineStr">
        <is>
          <t>Automatique</t>
        </is>
      </c>
    </row>
    <row r="55">
      <c r="B55" s="4" t="inlineStr">
        <is>
          <t>120</t>
        </is>
      </c>
      <c r="C55" s="1" t="n">
        <v>31619</v>
      </c>
      <c r="D55" s="5" t="inlineStr">
        <is>
          <t>Total general - 156 - 136</t>
        </is>
      </c>
    </row>
    <row r="56">
      <c r="B56" s="4" t="inlineStr">
        <is>
          <t>136</t>
        </is>
      </c>
      <c r="C56" s="1" t="n">
        <v>-8253</v>
      </c>
      <c r="D56" s="5" t="inlineStr">
        <is>
          <t>Report exercice 2033-B (310)</t>
        </is>
      </c>
    </row>
    <row r="57">
      <c r="B57" s="4" t="inlineStr">
        <is>
          <t>142</t>
        </is>
      </c>
      <c r="C57" s="5" t="n"/>
      <c r="D57" s="5" t="inlineStr">
        <is>
          <t>Automatique</t>
        </is>
      </c>
    </row>
    <row r="58">
      <c r="B58" s="4" t="n"/>
      <c r="C58" s="5" t="n"/>
      <c r="D58" s="5" t="n"/>
    </row>
    <row r="59">
      <c r="B59" s="4" t="inlineStr">
        <is>
          <t>156</t>
        </is>
      </c>
      <c r="C59" s="5" t="n">
        <v>204458</v>
      </c>
      <c r="D59" s="5" t="inlineStr">
        <is>
          <t>Capital (total) restant du à la cloture de l'exercice (Analyse prêt colonne H)</t>
        </is>
      </c>
    </row>
    <row r="60">
      <c r="B60" s="4" t="inlineStr">
        <is>
          <t>176</t>
        </is>
      </c>
      <c r="C60" s="5" t="n"/>
      <c r="D60" s="5" t="inlineStr">
        <is>
          <t>Automatique</t>
        </is>
      </c>
    </row>
    <row r="61">
      <c r="B61" s="4" t="inlineStr">
        <is>
          <t>180</t>
        </is>
      </c>
      <c r="C61" s="5" t="n"/>
      <c r="D61" s="5" t="inlineStr">
        <is>
          <t>Automatique</t>
        </is>
      </c>
    </row>
    <row r="62">
      <c r="B62" s="4" t="inlineStr">
        <is>
          <t>195</t>
        </is>
      </c>
      <c r="C62" s="5" t="n">
        <v>193574</v>
      </c>
      <c r="D62" s="5" t="inlineStr">
        <is>
          <t>Capital (total) restant du à la cloture de l'exercice N+1 (Analyse prêt colonne 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Alexis He</dc:creator>
  <dcterms:created xmlns:dcterms="http://purl.org/dc/terms/" xmlns:xsi="http://www.w3.org/2001/XMLSchema-instance" xsi:type="dcterms:W3CDTF">2024-08-07T15:19:14Z</dcterms:created>
  <dcterms:modified xmlns:dcterms="http://purl.org/dc/terms/" xmlns:xsi="http://www.w3.org/2001/XMLSchema-instance" xsi:type="dcterms:W3CDTF">2026-04-20T06:45:34Z</dcterms:modified>
  <cp:lastModifiedBy>Alexis He</cp:lastModifiedBy>
</cp:coreProperties>
</file>